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\Downloads\"/>
    </mc:Choice>
  </mc:AlternateContent>
  <xr:revisionPtr revIDLastSave="0" documentId="13_ncr:1_{44466A2E-3FF6-44F0-93C6-8E469AA684BC}" xr6:coauthVersionLast="47" xr6:coauthVersionMax="47" xr10:uidLastSave="{00000000-0000-0000-0000-000000000000}"/>
  <bookViews>
    <workbookView xWindow="-108" yWindow="-108" windowWidth="23256" windowHeight="13896" activeTab="1" xr2:uid="{C4441F57-AFE2-4AE5-896B-0CF06F571157}"/>
  </bookViews>
  <sheets>
    <sheet name="PACIENTES POR AÑO" sheetId="1" r:id="rId1"/>
    <sheet name="PACIENTES POR ESTADO" sheetId="2" r:id="rId2"/>
    <sheet name="UNIDADES DE HEMODIÁLISIS" sheetId="3" r:id="rId3"/>
    <sheet name="REQUERIMIENTOS DE BOLSAS" sheetId="4" r:id="rId4"/>
    <sheet name="SERVICIO SUBROGADO" sheetId="6" r:id="rId5"/>
  </sheets>
  <definedNames>
    <definedName name="_xlchart.v5.0" hidden="1">'PACIENTES POR ESTADO'!$A$1</definedName>
    <definedName name="_xlchart.v5.1" hidden="1">'PACIENTES POR ESTADO'!$A$2:$A$50</definedName>
    <definedName name="_xlchart.v5.10" hidden="1">'PACIENTES POR ESTADO'!$B$1</definedName>
    <definedName name="_xlchart.v5.11" hidden="1">'PACIENTES POR ESTADO'!$B$2:$B$50</definedName>
    <definedName name="_xlchart.v5.12" hidden="1">'PACIENTES POR ESTADO'!$A$1</definedName>
    <definedName name="_xlchart.v5.13" hidden="1">'PACIENTES POR ESTADO'!$A$2:$A$50</definedName>
    <definedName name="_xlchart.v5.14" hidden="1">'PACIENTES POR ESTADO'!$C$1</definedName>
    <definedName name="_xlchart.v5.15" hidden="1">'PACIENTES POR ESTADO'!$C$2:$C$50</definedName>
    <definedName name="_xlchart.v5.16" hidden="1">'PACIENTES POR ESTADO'!$D$1</definedName>
    <definedName name="_xlchart.v5.17" hidden="1">'PACIENTES POR ESTADO'!$D$2:$D$50</definedName>
    <definedName name="_xlchart.v5.18" hidden="1">'PACIENTES POR ESTADO'!$A$1</definedName>
    <definedName name="_xlchart.v5.19" hidden="1">'PACIENTES POR ESTADO'!$A$1:$A$50</definedName>
    <definedName name="_xlchart.v5.2" hidden="1">'PACIENTES POR ESTADO'!$B$1</definedName>
    <definedName name="_xlchart.v5.20" hidden="1">'PACIENTES POR ESTADO'!$A$2:$A$50</definedName>
    <definedName name="_xlchart.v5.21" hidden="1">'PACIENTES POR ESTADO'!$B$1:$B$50</definedName>
    <definedName name="_xlchart.v5.22" hidden="1">'PACIENTES POR ESTADO'!$C$1</definedName>
    <definedName name="_xlchart.v5.23" hidden="1">'PACIENTES POR ESTADO'!$C$2:$C$50</definedName>
    <definedName name="_xlchart.v5.3" hidden="1">'PACIENTES POR ESTADO'!$B$2:$B$50</definedName>
    <definedName name="_xlchart.v5.4" hidden="1">'PACIENTES POR ESTADO'!$A$1</definedName>
    <definedName name="_xlchart.v5.5" hidden="1">'PACIENTES POR ESTADO'!$A$2:$A$50</definedName>
    <definedName name="_xlchart.v5.6" hidden="1">'PACIENTES POR ESTADO'!$B$1</definedName>
    <definedName name="_xlchart.v5.7" hidden="1">'PACIENTES POR ESTADO'!$B$2:$B$50</definedName>
    <definedName name="_xlchart.v5.8" hidden="1">'PACIENTES POR ESTADO'!$A$1</definedName>
    <definedName name="_xlchart.v5.9" hidden="1">'PACIENTES POR ESTADO'!$A$2:$A$50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2" i="2"/>
  <c r="I2" i="2"/>
  <c r="M2" i="2" s="1"/>
  <c r="L1" i="2"/>
  <c r="H35" i="2"/>
  <c r="G35" i="2"/>
  <c r="H34" i="2"/>
  <c r="H33" i="2"/>
  <c r="G34" i="2"/>
  <c r="G33" i="2"/>
  <c r="H31" i="2"/>
  <c r="G31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17" i="2"/>
  <c r="H15" i="2"/>
  <c r="H3" i="2"/>
  <c r="H4" i="2"/>
  <c r="H5" i="2"/>
  <c r="H6" i="2"/>
  <c r="H7" i="2"/>
  <c r="H8" i="2"/>
  <c r="H9" i="2"/>
  <c r="H10" i="2"/>
  <c r="H11" i="2"/>
  <c r="H12" i="2"/>
  <c r="H13" i="2"/>
  <c r="H14" i="2"/>
  <c r="H2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17" i="2"/>
  <c r="G15" i="2"/>
  <c r="G4" i="2"/>
  <c r="G5" i="2"/>
  <c r="G6" i="2"/>
  <c r="G7" i="2"/>
  <c r="G8" i="2"/>
  <c r="G9" i="2"/>
  <c r="G10" i="2"/>
  <c r="G11" i="2"/>
  <c r="G12" i="2"/>
  <c r="G13" i="2"/>
  <c r="G14" i="2"/>
  <c r="G3" i="2"/>
  <c r="G2" i="2"/>
  <c r="A19" i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6" i="6"/>
  <c r="A9" i="6" s="1"/>
  <c r="A14" i="1"/>
  <c r="A15" i="1" s="1"/>
  <c r="A5" i="1"/>
  <c r="A6" i="1"/>
  <c r="A7" i="1"/>
  <c r="A8" i="1"/>
  <c r="A9" i="1"/>
  <c r="A10" i="1"/>
  <c r="A11" i="1"/>
  <c r="A12" i="1"/>
  <c r="A13" i="1"/>
  <c r="A4" i="1"/>
</calcChain>
</file>

<file path=xl/sharedStrings.xml><?xml version="1.0" encoding="utf-8"?>
<sst xmlns="http://schemas.openxmlformats.org/spreadsheetml/2006/main" count="316" uniqueCount="247">
  <si>
    <t>DIALISIS</t>
  </si>
  <si>
    <t>TOTAL</t>
  </si>
  <si>
    <t>DPA</t>
  </si>
  <si>
    <t>DPCA</t>
  </si>
  <si>
    <t>%</t>
  </si>
  <si>
    <t>INTERNA</t>
  </si>
  <si>
    <t>SUROGADA</t>
  </si>
  <si>
    <t>TOTAL DE PACIENTES</t>
  </si>
  <si>
    <t>HEMODIÁLISIS</t>
  </si>
  <si>
    <t> 15,147</t>
  </si>
  <si>
    <t> 18,515</t>
  </si>
  <si>
    <t>33,662 </t>
  </si>
  <si>
    <t> 10,947</t>
  </si>
  <si>
    <t> 13,446</t>
  </si>
  <si>
    <t> 24,393</t>
  </si>
  <si>
    <t> 20,036</t>
  </si>
  <si>
    <t>34,731 </t>
  </si>
  <si>
    <t> 10,706</t>
  </si>
  <si>
    <t> 14,725</t>
  </si>
  <si>
    <t> 25,431</t>
  </si>
  <si>
    <t>AÑO</t>
  </si>
  <si>
    <t> 22,450</t>
  </si>
  <si>
    <t>36,617 </t>
  </si>
  <si>
    <t> 10,865</t>
  </si>
  <si>
    <t> 17,047</t>
  </si>
  <si>
    <t> 27,912</t>
  </si>
  <si>
    <t> 23,941</t>
  </si>
  <si>
    <t>38,694 </t>
  </si>
  <si>
    <t> 11,485</t>
  </si>
  <si>
    <t> 18,972</t>
  </si>
  <si>
    <t> 30,457</t>
  </si>
  <si>
    <t> 25,438</t>
  </si>
  <si>
    <t>41,284 </t>
  </si>
  <si>
    <t> 11,865</t>
  </si>
  <si>
    <t> 21,394</t>
  </si>
  <si>
    <t> 33,259</t>
  </si>
  <si>
    <t> 23,666</t>
  </si>
  <si>
    <t>38,933 </t>
  </si>
  <si>
    <t> 10,464</t>
  </si>
  <si>
    <t> 22,091</t>
  </si>
  <si>
    <t> 32,555</t>
  </si>
  <si>
    <t> 25,983</t>
  </si>
  <si>
    <t>41,936 </t>
  </si>
  <si>
    <t> 11,347</t>
  </si>
  <si>
    <t> 23,752</t>
  </si>
  <si>
    <t> 35,099</t>
  </si>
  <si>
    <t> 20,948</t>
  </si>
  <si>
    <t>33,978 </t>
  </si>
  <si>
    <t> 10,926</t>
  </si>
  <si>
    <t> 22,445</t>
  </si>
  <si>
    <t> 33,371</t>
  </si>
  <si>
    <t> 12,415</t>
  </si>
  <si>
    <t> 21,327</t>
  </si>
  <si>
    <t>33,742 </t>
  </si>
  <si>
    <t> 12,062</t>
  </si>
  <si>
    <t> 24,219</t>
  </si>
  <si>
    <t> 36,281</t>
  </si>
  <si>
    <t> 21,411</t>
  </si>
  <si>
    <t>36,074 </t>
  </si>
  <si>
    <t> 12,691</t>
  </si>
  <si>
    <t> 28,922</t>
  </si>
  <si>
    <t> 41,613</t>
  </si>
  <si>
    <t> 21,233</t>
  </si>
  <si>
    <t>37,787 </t>
  </si>
  <si>
    <t> 14,461</t>
  </si>
  <si>
    <t> 31,456</t>
  </si>
  <si>
    <t> 45,917</t>
  </si>
  <si>
    <t> 19,579</t>
  </si>
  <si>
    <t>36,598 </t>
  </si>
  <si>
    <t> 13,427</t>
  </si>
  <si>
    <t> 33,465</t>
  </si>
  <si>
    <t> 46,892</t>
  </si>
  <si>
    <t> 19,432</t>
  </si>
  <si>
    <t>36,539 </t>
  </si>
  <si>
    <t> 13,765</t>
  </si>
  <si>
    <t> 34,246</t>
  </si>
  <si>
    <t> 48,011</t>
  </si>
  <si>
    <t>CÉDULAS</t>
  </si>
  <si>
    <t>ESTABLECIMIENTOS SUBROGADOS</t>
  </si>
  <si>
    <t>REGISTRADAS</t>
  </si>
  <si>
    <t>NO REGISTRADAS</t>
  </si>
  <si>
    <t>OOAD</t>
  </si>
  <si>
    <t>UMAE</t>
  </si>
  <si>
    <t>Total</t>
  </si>
  <si>
    <t>*2</t>
  </si>
  <si>
    <t>*Guerrero</t>
  </si>
  <si>
    <t>PERIODOS EN MESES</t>
  </si>
  <si>
    <t>1 A 12</t>
  </si>
  <si>
    <t>13 A 24</t>
  </si>
  <si>
    <t>25 A 36</t>
  </si>
  <si>
    <t>NÚMERO DE UNIDADES REGISTRADAS</t>
  </si>
  <si>
    <t> 3,334,478</t>
  </si>
  <si>
    <t> 8,478,788</t>
  </si>
  <si>
    <t> 12,996,028</t>
  </si>
  <si>
    <t>37 A 48</t>
  </si>
  <si>
    <t> 2,622,681</t>
  </si>
  <si>
    <t> 5,758,691</t>
  </si>
  <si>
    <t> 8,145,922</t>
  </si>
  <si>
    <t> 10,013,050</t>
  </si>
  <si>
    <t>MODALIDAD</t>
  </si>
  <si>
    <t> 8,724,143</t>
  </si>
  <si>
    <t> 19,176,552</t>
  </si>
  <si>
    <t> 26,473,603</t>
  </si>
  <si>
    <t> 31,990,940</t>
  </si>
  <si>
    <t>HD INTERNA</t>
  </si>
  <si>
    <t>HD INTRAMUROS</t>
  </si>
  <si>
    <t> 586,201</t>
  </si>
  <si>
    <t> 491,443</t>
  </si>
  <si>
    <t>*37 A 46</t>
  </si>
  <si>
    <t> 2,265,757</t>
  </si>
  <si>
    <t> 2,714,478</t>
  </si>
  <si>
    <t> 6,874,018</t>
  </si>
  <si>
    <t> 10,515,988</t>
  </si>
  <si>
    <t> 9,265,068</t>
  </si>
  <si>
    <t> 22,088,248</t>
  </si>
  <si>
    <t> 32,292,188</t>
  </si>
  <si>
    <t>UMAE HE CMN Bajío sin requerimiento</t>
  </si>
  <si>
    <t>HD SUBROGADA</t>
  </si>
  <si>
    <t> 12,582,388</t>
  </si>
  <si>
    <t> 30,187,068</t>
  </si>
  <si>
    <t> 44,201,608</t>
  </si>
  <si>
    <t> 2,043,528</t>
  </si>
  <si>
    <t> 5,271,252</t>
  </si>
  <si>
    <t>HD EXTERNA</t>
  </si>
  <si>
    <t> 2,444,570</t>
  </si>
  <si>
    <t> 6,456,716</t>
  </si>
  <si>
    <t> 2,713,419</t>
  </si>
  <si>
    <t> 5,271,997</t>
  </si>
  <si>
    <t>RESUMEN NACIONAL 2023</t>
  </si>
  <si>
    <t>PERSONAS ATENDIDAS</t>
  </si>
  <si>
    <t>CARENCIA DEL SERVICIO</t>
  </si>
  <si>
    <t>FALTA DE  PERSONAL</t>
  </si>
  <si>
    <t>FALTA DE EQUIPO</t>
  </si>
  <si>
    <t>FALTA DE INSUMO</t>
  </si>
  <si>
    <t>TOTAL DE EVENTOS</t>
  </si>
  <si>
    <t>840,318 </t>
  </si>
  <si>
    <t>4,997,578 </t>
  </si>
  <si>
    <t>4,876,159 </t>
  </si>
  <si>
    <t>7,471 </t>
  </si>
  <si>
    <t>87,910 </t>
  </si>
  <si>
    <t>26,038 </t>
  </si>
  <si>
    <t>1,080,331 </t>
  </si>
  <si>
    <t>6,384,113 </t>
  </si>
  <si>
    <t>5,405 </t>
  </si>
  <si>
    <t>68,883 </t>
  </si>
  <si>
    <t>108,695 </t>
  </si>
  <si>
    <t>3,348,050,604 </t>
  </si>
  <si>
    <t>7,481,349,372 </t>
  </si>
  <si>
    <t>2,315,329,224 </t>
  </si>
  <si>
    <t>4,355,167 </t>
  </si>
  <si>
    <t>7,926 </t>
  </si>
  <si>
    <t>67,448 </t>
  </si>
  <si>
    <t>136,961 </t>
  </si>
  <si>
    <t>2,683,527,455 </t>
  </si>
  <si>
    <t>1,784,896,731 </t>
  </si>
  <si>
    <t>PRESUPUESTO INICIAL ANUAL GLOBAL</t>
  </si>
  <si>
    <t>PRESUPUESTO PROYECTADO ANUAL GLOBAL</t>
  </si>
  <si>
    <t>GASTO TOTAL EN EL SERVICIO</t>
  </si>
  <si>
    <t>SERVICIO SUBROGADO NACIONAL DIÁLISIS</t>
  </si>
  <si>
    <t>HD</t>
  </si>
  <si>
    <t>DP</t>
  </si>
  <si>
    <t>764,814 </t>
  </si>
  <si>
    <t>4,793,290 </t>
  </si>
  <si>
    <t>0 </t>
  </si>
  <si>
    <t>63,025 </t>
  </si>
  <si>
    <t>2,049,933,022 </t>
  </si>
  <si>
    <t>315,517 </t>
  </si>
  <si>
    <t>1,590,823 </t>
  </si>
  <si>
    <t>45,670 </t>
  </si>
  <si>
    <t>663,597 </t>
  </si>
  <si>
    <t>3,197,197 </t>
  </si>
  <si>
    <t>2,814 </t>
  </si>
  <si>
    <t>176,721 </t>
  </si>
  <si>
    <t>1,678,962 </t>
  </si>
  <si>
    <t>23,224 </t>
  </si>
  <si>
    <t>552,502 </t>
  </si>
  <si>
    <t>3,136,300 </t>
  </si>
  <si>
    <t>2,078 </t>
  </si>
  <si>
    <t>5,662 </t>
  </si>
  <si>
    <t>98,819 </t>
  </si>
  <si>
    <t>3,242,859 </t>
  </si>
  <si>
    <t>255,817 </t>
  </si>
  <si>
    <t>1,218,867 </t>
  </si>
  <si>
    <t>5,848 </t>
  </si>
  <si>
    <t>61,786 </t>
  </si>
  <si>
    <t>38,142 </t>
  </si>
  <si>
    <t>ESTADO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</si>
  <si>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</si>
  <si>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</si>
  <si>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</si>
  <si>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</si>
  <si>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</si>
  <si>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</si>
  <si>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</si>
  <si>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</si>
  <si>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DURANGO</t>
  </si>
  <si>
    <t>GUANAJUATO</t>
  </si>
  <si>
    <t>GUERRERO</t>
  </si>
  <si>
    <t>HIDALGO</t>
  </si>
  <si>
    <t>JALISCO</t>
  </si>
  <si>
    <t>EDO. DE MÉX. OTE.</t>
  </si>
  <si>
    <t>EDO. DE MÉX. PTE.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</si>
  <si>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</si>
  <si>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</si>
  <si>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</si>
  <si>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</si>
  <si>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</si>
  <si>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</si>
  <si>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</si>
  <si>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</si>
  <si>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</si>
  <si>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</si>
  <si>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</si>
  <si>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</si>
  <si>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</si>
  <si>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</si>
  <si>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NORTE</t>
  </si>
  <si>
    <t>VERACRUZ SUR</t>
  </si>
  <si>
    <t>YUCATÁN</t>
  </si>
  <si>
    <t>ZACATECAS</t>
  </si>
  <si>
    <t>DEL NORTE D.F.</t>
  </si>
  <si>
    <t>DEL SUR D.F.</t>
  </si>
  <si>
    <t>UMAE HE CMN LA RAZA</t>
  </si>
  <si>
    <t>UMAE HE CMN SIGLO XXI</t>
  </si>
  <si>
    <t>UMAE HE CMN OCC OBLATOS</t>
  </si>
  <si>
    <t>UMAE HE 25 CMN MONTERREY</t>
  </si>
  <si>
    <t>UMAE HE 71 TORREÓN</t>
  </si>
  <si>
    <t>UMAE HE CMN PUEBLA</t>
  </si>
  <si>
    <t>UMAE HE 1 CMN BAJÍO</t>
  </si>
  <si>
    <t>UMAE HE 2 CMN OBREGÓN</t>
  </si>
  <si>
    <t>UMAE HE 14 CMN VERACRUZ</t>
  </si>
  <si>
    <t>UMAE HP CMN SIGLO XXI</t>
  </si>
  <si>
    <t>UMAE HP CMN OCC</t>
  </si>
  <si>
    <t>UMAE HGP 48 CMN BAJÍO</t>
  </si>
  <si>
    <t>UMAE HGRAL CMN LA RAZA</t>
  </si>
  <si>
    <t>INEGI % (2015)</t>
  </si>
  <si>
    <t>INEGI % (2020)</t>
  </si>
  <si>
    <t>CDMX</t>
  </si>
  <si>
    <t>ppm (2015)</t>
  </si>
  <si>
    <t>ppm (2020)</t>
  </si>
  <si>
    <t>NÚMERO SE SESIONES PARA PACIENTES NUEVOS</t>
  </si>
  <si>
    <t>Promedio de periodo 1-48 meses</t>
  </si>
  <si>
    <t>Promedio de periodo 1-36 meses</t>
  </si>
  <si>
    <t>DP TOTAL Dic, 2016</t>
  </si>
  <si>
    <t>HD TOTAL Dic, 2016</t>
  </si>
  <si>
    <t>TOTAL POBLACIÓN IMSS MEXICO</t>
  </si>
  <si>
    <t>Renal Replacement Therapy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</si>
</sst>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rial"/>
      <family val="2"/>
    </font>
    <font>
      <sz val="11"/>
      <color rgb="FF33333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3" fontId="0" fillId="0" borderId="0" xfId="0" applyNumberFormat="1"/>
    <xf numFmtId="3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right" vertical="center"/>
    </xf>
    <xf numFmtId="3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right"/>
    </xf>
    <xf numFmtId="3" fontId="0" fillId="0" borderId="1" xfId="0" applyNumberFormat="1" applyBorder="1" applyAlignment="1">
      <alignment horizontal="right" vertical="center"/>
    </xf>
    <xf numFmtId="0" fontId="2" fillId="0" borderId="1" xfId="0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3" fontId="0" fillId="0" borderId="1" xfId="0" applyNumberFormat="1" applyBorder="1" applyAlignment="1">
      <alignment horizontal="right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3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4" fontId="0" fillId="0" borderId="0" xfId="0" applyNumberFormat="1"/>
    <xf numFmtId="0" fontId="0" fillId="2" borderId="5" xfId="0" applyFill="1" applyBorder="1" applyAlignment="1">
      <alignment horizontal="center"/>
    </xf>
    <xf numFmtId="3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4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_xlchart.v5.19</cx:f>
      </cx:strDim>
      <cx:numDim type="colorVal">
        <cx:f>_xlchart.v5.21</cx:f>
      </cx:numDim>
    </cx:data>
  </cx:chartData>
  <cx:chart>
    <cx:title pos="t" align="ctr" overlay="1">
      <cx:tx>
        <cx:txData>
          <cx:v>2016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2016</a:t>
          </a:r>
        </a:p>
      </cx:txPr>
    </cx:title>
    <cx:plotArea>
      <cx:plotAreaRegion>
        <cx:series layoutId="regionMap" uniqueId="{4A27D55A-2020-4A29-B1F7-1E58DBB406D0}">
          <cx:dataId val="0"/>
          <cx:layoutPr>
            <cx:geography cultureLanguage="en-US" cultureRegion="MX" attribution="Powered by Bing">
              <cx:geoCache provider="{E9337A44-BEBE-4D9F-B70C-5C5E7DAFC167}">
                <cx:binary>BMFRCoAgDADQq4gHcBV9SXUXWTMFdeEG7fi9d6BFbJSms96GRLTTF9U3AggW6klCrzhZOGtA7sA5
VyS4Z/rqeGBb1h2wpKlk3sH1AwAA//8=</cx:binary>
              </cx:geoCache>
            </cx:geography>
          </cx:layoutPr>
        </cx:series>
      </cx:plotAreaRegion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2016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2016</a:t>
          </a:r>
        </a:p>
      </cx:txPr>
    </cx:title>
    <cx:plotArea>
      <cx:plotAreaRegion>
        <cx:series layoutId="regionMap" uniqueId="{196EB2AE-655B-4120-A60A-AA37AAE17ED7}">
          <cx:tx>
            <cx:txData>
              <cx:f>_xlchart.v5.2</cx:f>
              <cx:v>Renal Replacement Therapy 2026</cx:v>
            </cx:txData>
          </cx:tx>
          <cx:dataLabels>
            <cx:visibility seriesName="0" categoryName="0" value="1"/>
          </cx:dataLabels>
          <cx:dataId val="0"/>
          <cx:layoutPr>
            <cx:geography cultureLanguage="en-US" cultureRegion="MX" attribution="Powered by Bing">
              <cx:geoCache provider="{E9337A44-BEBE-4D9F-B70C-5C5E7DAFC167}">
                <cx:binary>7HxJcxtJsuZfoek8yYo9I9q62oyRWAgCIChuJemSBlFk7hm5b7c5vsM7zS+Y4zvMaX6C/tg4uKjI
FEVVaVT9mmYNk0kigUBG+O6fu8ffr7q/XcXX22KvS+K0/NtV9+sbv6qyv/3yS3nlXyfbcj8JrgpT
mptq/8okv5ibm+Dq+pdPxbYNUu8XgjD75crfFtV19+Yff4dv867Nylxtq8Ckb+vroj+9Luu4Kl94
79m39rafkiCdBGVVBFcV/vXNwfzi4Mw5WC2mx+fTszd712kVVP15n13/+ubJZ9/s/TL+xq+evhfD
Bqv6E6wlZB8hwahN0d2LvNmLTerdv21hRPapwIoJjG8/gB+efbxNYP2BV2/Lq20cwIauy4f3ntvX
7a62nz4V12UJx7v99+v1T86yOzac9crUabUjpQdU/fXN+roLrsybvaA0zt07jtkdZf3u9uy/POXC
P/4++gVQY/SbR4wak+57b33Fp8nF6cHxfPMSIf4kg9i+IsABJNSYM/AOplRJmz3HmUldbFMP6PRt
UXmeJV8Wjngx2R3rNfFCHxwd7O10ZrY5PV4cvESJP8cTiva5VBhRoe5fI9Zgvo8xFjZm/OGpd+qi
t+F2zwF1uTFFGmwf3vzj+vLVF4yYpJ3j18Wki/XBdO9wuuesj/fOFvPVZu/du8VLdNmx6i9U4JHQ
7J1dnH5vN08NzovWlu8rKjnCVIwlBuywwISAXD087lmJ2Turi4cP/LDU3H3JV5Lzykztg+SQW9nZ
6NPp/PP/Aun/tr37i0XHOVifTJ3D6fe28MflBct9yRCWHNvPemeFds4ZMQ6fun3Rh2ffCY+zTbJr
CGQefvvHJeb3lSMxgUO+LgPjbFaL9U80/ljtY4ZBg/GD9R+pMqLgl4mywTk/0P2eGyYOkh+w+c79
ujEnNqvXxYk7hT35lzH1zuHi8OIA/jyw6Tn1+HORAQGFRWDgyVdhtNhnQiHQ47FQ+IFfb+HPS5t4
PlBzfl86Fg042euSDWcDjFisfiYr7H2iOJWUseeDNMhsEGOIK3sUpDkG+BHEP8KRLyvHDIHjvS6G
PHhXG++db05Pp//NrvVwcXByAAHKy879T3hW0EcpmLKlfN6zEtBXKZSAgOz29bXabrNt+dKGvqm0
dwvHEnK4gOO9pvQKEInjg6OLg/Ofme2ifYU4E4jybygt3keYcEZssLB3wnDnXOf1Nt2G9bb6gYz3
8doRW+a7070mrmwO3h04P9GMYrGvBFUM8+fDHQWKRG1MIBy6U6SRMd1su+3VD5jSh3UjfsDxXhc/
5hdTsJ6nP1FHsL0vxG2Uca8iI2BIKUCMsADEjjzLkTngksV18UN68rByxJX57nyvSUsOF5OD1U+F
6dA+sxUHb8GepgMKIkJpI0EAwLt7PbVbh8GnbfwjMN2XhSNeHL42mO4IELoz5ycqCNnBcwi4QdSd
AuCnLAHgbl9giokUAMM8diJHgMyVO2z522HG8179y8IRM+Bsr0sxJtPVDvLam+zP9l8iw18Mpby/
cA7OP//P76I5fzzgA6GwmWAAyd7VMdAoQ5NyZzW5IjZ6Vk/f11DV+fy/05eI8rxs/L5yJBxwyNcl
HOvN6XS1gTD12+rx59JlwLdsRpAtwELevkZMAVeGbKb4Q5CORsHF2hTXsfmBKPzLwhFL4ISviyXT
yWZ/bzLdW3/+j3f7e5vz6Xe19o+rDCBdlEMcTsnvrutxbRC4Ixinij7UQcD1Pbam68//dVep+7a4
PK8xXxaOuTN9ZcHf2cHx3upicbZ3sjnfnH3+zwf6/ASgiYCPg0RJUDl2bhCJYMEx5iN2nG3TvVUd
lHsnpjLl5//z0mae58vX3zBi0Nnq5DWrz8m/1afo/4WK6euFc7g5cH5qHABGDRwO5Kti5GswwvvS
hriRibGXCa58s736Iee/frR2pCy7070ubTk+eH9wujh/yXD8Of9PgOSIYVsS+iXoeuxhoLS1K4Ap
6D8ZlUWPt/22CKqXtvK8DfuycMQNONsrY8bF9HKzt/ojwOwfd/mE73ObcMVH9ekdpiCkAr25B9NH
idNxfd2YvdX15//7AwHyk8Vjtryy/OlxjWvjQHz/7djnL06hTi6m+mfWU8BwQqcYEpSNZcMGzBYh
RdE9lD4ynyf19ccfKaY8rBtJBJzrdSnqW0AAP//H+cHPxAAhm5Wcg3n8RnEL9FVCVwCksveGdcST
XV/b5/+qtj+CAj5eO+LN29eGA15OTw+c04sPe8eb03OQq5e19Y/b0V3qpAgAfw8Y7AiC2qHm0NYB
0ft948YoVr+8LrZXRT28tKPn/dvvK0e8gaO+Nr1ZHJ9DiWnvdPMTwUHgjCAESkiCPBtyAA4E0CCC
+tI9em4/8OCuzvS2DtIKSk17p+YHcMKnq0ccevvKGHS2OD5YbX5irYlARytUZKEN7h4OGmkNRjag
7Lai3B6Fg2dBuo3N9oFVz+XXz6vLl4UjXsDZXpe2nG3AhP1MXoCeKKgz3ZL6SUyOAUlV0Moi5SgI
PDOpKX6EB/frxizYvDIWnB9o6NH/mbYKIitqCwEdKs8WMhSAQArSI0rxF1v2GIA7336E5vwfMFNf
Fo5YAid8XVrx0MWy6y6GcHxvAyExIHEv2Ym/OCw/P1gfXKwWP7WZBewmsZktd1bxsapC7RF60AXe
gbi3r5HCnm+TbR0HP9TH8njtV1KyPgESv6Z68Pnq4B1MCvxE+wlxBiM760nvJ2tGcBPwBoN1hTDk
vh415k287WCu5gfM6fmXlWO+wCFfF1se1Jfw26bR9QaGn6CbApCalwP1v3A+4EvG8FMHA/6dL1S3
8dnz43PPvvXV6NUH6Hs6nzo/s0uQ0H1I4qCL1P6qykKgCQdxwEPwgzDe5QcfoNupur76kdbAR0tH
mgtHe12Ku2sjuE2p/7sbCZzJbizwZWvxp9J6sitWM36ftgPznzhcmA2AXjnKdsjL7jVKHu9GF/cc
GN18aVPPpypPFo8E5O6Yr8njPpj2XWS2ghz/4MN3ne9faNUf7+bfwOm/yCztA1PwrfOHwbzP//nd
5OqfICOY3e7nIRB4SZH/XDXs30HA/38QcCcz85M9Jv+VpGZ+erC63c8/39R9wyk8dolPPvJnLxCA
aTcK3fp0N0Xz2Bfubg7gSNkwnTgC6x4G+L+9hZcc4D85EPq2Qfky6DvZVtvp7X0Mj64LePndh4h2
tPSlQOWOWotPcGcDQNePuLT7jvuFdyHoaEb88cjw78uvt2X16xu43wHyVJhKwxzZXEhg5Ju99vru
LZhi34HgMH0KY1IMJhrf7AHAV/mwAwCmlGR0Nz4j8d2q0tS3b5F9KXbhEcUMcCnE+ZeLMU5M3Hsm
/UKZ+5/30jo5MYCql7++gUdkd5/a7RT2JKlt2wyzXR2LAvYL719tT+HuDfgw/h9cNp0okgCtkjxu
1ymq+TKN/HhwjGjpVEYUU8140wAc8eVajGceC7n348eC6EJ/MJCFwhD/7noMqM48fqyXdzKIYttb
1QmX08YLosYpi0GdlGGTfMhqad28/ECg8viBgjBJYUBwB63uuh0ePxDTfOBtSLwVjnGgTdpR37Gk
sBInEjzURdMlMPzS9Meo6q0PlUU4eMqXTjwiNJwYOl93FxYAigSM203XPN7AENIa5W1Bl1XShecw
yuhpFkfBChreo3Vdomya81gdvfxQAlnU6NhKQjc29N3uGkCkvePDI/YmKLY5NQ1eIuGmtU5ru/qt
77C4ZiZm0bpCZfzWjVn4NqZWlmppGXFSK3fYholSOsnhY06UlOaKojad9IXVb9s+VJnO87z9TVlx
/IkTnwQ6K4Nw43tWv/BEFK3ivCuO3agKt1LVbFEQOZwRt7ALHfDcn7x8yq8OCYVxSBl2fZQ7Vdm1
Vjw+ZNgPNo1bNiyH1DSXSQIapVFTuaeJHaNFYXXupjK4m8WEIqgQvcRVDPnIUwJTaJ6xoRRJFAMq
j9nqN6XJIi/rl73lqzM6kAaOaMrwxA+b7BP1UKnTIusLh+WR/Bi7stA+DoYb2DP7zl4I+IPRXuQO
ieSg0jANQW6F4RGzd50FMbeHdunbKDkv/ZzOgRih51RuYi7QkFeF47rIKpxGFP3ELapwGfp25GuT
eGnuoE7V80gWuedkUdaEGgV+ostKomOfN4mOLRTEE1/kLdEdbZWWhLvGiWkfMQfHA2sOvbiKQke4
XRDolyn9zOE4mKldizkMekCbzFMm08HL8DCYdpnk3MNOUrrI1dBtXi5ihGNIUV9k61fmgt5e+rJj
7K7MPyZlVlR9i6u2WsZ93y1ahmqpIy8QSIMgiERnXioKzYayTx1X2cVhamTYaiVrf028LPkYx6gs
HVVRedGjpLhOqOWZaeVKfOXJMlMTg9r6Js+qAW4DeGnrX1lW2DkUMyjQHu66gP89pRPDla8k7H/J
Y9TOstINHYvU/Ryx3J5HoETnLz/vlvCPPAhYF5jKgfIIpOwCwRjbyLBVqCFtTU2+9AMpNsRuEifL
aHNG8ihY1ANlq77p+JRnDf9NejQMHZKV3UXaFu/hdhc0GwqoVmoqApbrIMqLk7ryQERp5w2bAZtm
CmWycmoVnb+Imx5sSYeKdZTSUAc2xvOXT4O/Jp+SQDzwyESCdx3bkiZsJPGzJlm6ZcxuLNWlnu6y
2D1p0jgJnLQKU+UwllhQ9wTk36kKrmIHuh5j6jRSeVJXA8/PkjD3CifEGfGcgRE31KkkTfc9ndjd
dvNU5RlhNlEwVoGYzaGy+5TbtMp6K2upt7RKGtCZSsMomtSI25G2ctKzGava/qPHZGoctwlptCED
o1uW5IZNqli57CiW1DqhNcxx684aaK7tSop5GytyqXhHjnqVsTl2LX8iOxPHOg5EuWzyLI8OZeDH
ROO4Jt0EqsrFOneztD5Kc9eYmTJCTj3PD23NMx9d20nSCScsUxkuqWqsYJqzvPgwhGBZtaoidxKF
mVj0kQmRjkjgfuo7yU58u46ypZsz6jq8J7U6yjMRgS9KG2YdqTyuq0lYqOQyFhWYpLSxs5VV12sv
o2zBO251k1p0tq+HxsxbwoQD95OJKeaZ2aRVEn+yvYZX2g+EvRn6mC56w3LkJBVFVzTk/mVPc++d
SdGgTYEId1jY00UYeL4O3Jpjp6Vu+L6hvXcWtah1dZ0FXXXS2KJnOhVxPilF0wQ6L/yuPBRc4Jkq
8MAnVWN7n4yfdUqzJEOnPZbImpGqMt4kJVkRaZ+o4mzoBS6AmRBAHlsoMu8CuP3mtyTErTzqDK1m
RnZt7ZTgqT3HYsS/wl5ar0Vt2TesctOjRposn+DYD45LkiNQsoTb3MnzoJ+1Ke/5JDKkvmS8Gxza
WvbCs4I80bblU67rPJetM6S2BZ5DqqPeNtac+HGiC5OqVWDgLJojg34r4fq3dWc3xJtZsvFKp3cx
GaahJ42nc1Hw7cD8imiaxP26KERBtMQMBdous+xQevKkr1EDktCh4UqySmwqv7Jthw22cUjaWW9t
N6muUh/V65w33XxQebhuht52usBi9SSMrURTnrEl6SCSnIb2YH2I/Mg6bkTcXPttit7ahY0/NTD/
7CSGKx0ngveOQpVYx1jJbdEFl56V1b/5FDcXgvlmwe2sPaoq5XdTu66yTHelx4iOUUffe37h6rjD
+Zbiglja7qu0m5QNFslpELVhsmklrW9I29pCk6KOmjnDHYhIJLvS0l1iSfesLYExNm9kOXcD7s9r
hk3t1LhYZiZsUp3lVWRmos+p7kVs15rStNU5aofLJLOzMyssit/CZhh055H4KhRddyLc8KYemDqN
Kn+4gjtT0tnOzfnaKpEbazfDYaNZ16O3qejwTQQxWaSRjXqkfZ+gc9z03pIXyszgbgf7fVjYNgSr
/bDpsItPhxz6WCcy8JqztLQ6OrdE4GM9VCRcNNLOZ+AOLrmn0o9l3NzUARVrSH6yyzzw7dBp29bd
kCKVp2VRgCO3Ich4F1tFeu26qjrCUeyf2zgBCfN71G9C0ctG+5JGsygtKm8y1CwAZQ5bFUMQGmdo
3lRNig9R0apaR9i4hUaFyeg0TrAxcCyMKo152PaHVmX7nyJl4T57n1vcE1hnvTFy2StTndLecpeM
leidaoR5X8nQRU4EXnRZm57OUrh06piXqMO6LRTPgYw1v8JBMRzaphfv8qpKDllozIoh2V3UmEe1
Hrw0JEBqv8iXEBCKcyvqrGKOJakLp6tjMystk3PHDWEgX7fD0DROX5pV7DdnsWi9Ra+CJtNByGij
KRvq2Mm44NdNFNRwqw0hQrPSC68rm4WDxkNVe7rNB+FOSaWiD6FxbaaF3bnVUnb1UIEN61QysQyK
y0kvQ9M4kBNaoR4Y4zduaLMPGbfokWEU1ZoFkB1Om6h261XYtSaedrLvgL6xsuiER8JG2kLYWmSQ
+rxvC9K9xVafJs6QIObpUmQZngyDFyRzl9t1CGbdHo5sTvpPfW/a1LEC8Ao6N0gdCYGDelJ1ual0
Xbo5dYquML6OqiY+qxLRXhVD4V40buKvcYqLDWKubzRDZRpAiF0oz2lZTewpxCv9hyGO7Ylbw5Nn
udezdJolWRyeRF3MBo2QKYPTyorq903j+Z72TESWlvTYom5tdQrRK64cq61JMIuQqC+juiShNpK0
wcw0ja2cKhSePBJ5GCzDkngfSj9k/gR3Hj4reia3XROnjS68fsAzmam0nMJhmvaUZCr/MCjLW5oq
sfi6xr6KdB17wSGxcZ3qGPNipmqXMDBoZfNJVnmQOuDsgtApqryJnJI3Kpm5sbGQ05KM3EByFV7J
JM2PMgO57yzsAk4mQVzERtuRTTPIr4XVa1xga5gGvK4+hkOJIp12vM6cqIcMDnyk5c6jEttzlmG/
0dztXGteRUO1iLFkrc54TVYtyyAjUIkh54WB3KqsKmlPSR0UK9iJYbqLg8p32jzJO427WCYOdUmS
aurGxSb2SN063VCZ3yxlu+7cgoQNyBrIfOqa0k20qeLQndSmzWSsOwXBy1Rx1vuOpERRndcWEKAK
/WziRlbuTbvM7TwnxWESaJWa4bTFRXcS1H10U5RDtrQSL6q0xauUrjKJY1uT3q98jUSSbjDtsmKa
gB27LJKms7TkRRMvC78Y8kkee/ZZU8roXRQ0kaaRW3TvSjyg6oj3LOJT0qiSzRuv9qZIlPn7Nuy6
tzlO0EYmbu5FOgpSw956ZWYFb0Nh6mVq+33tDJZo3pOdi7aLFsfOUKMCtLX0yClLWXQlbRcd5S0H
sWwiycmU5H7XTxQy8UdcFOYoQx3wzsTYLZ2M+P07YK44GSIqS6csvSh2BGh0Oq1NnK38rCjxxBSt
fxJKRSwHMpR2mSeqnpEoSc7dmhgN0EE7s7quBQchZXfS5D5/H0QByXXZxv6Hom3UaeAV3mWbdkmj
FTiRHgxrbT5VLGfpRvYV8RYUhdl7YYvysg/tbErcYNhYg8smAL10h7Qz2QnreTLPPZUtb98NotK+
8EUiLmLc9652B+L1ECw09ibwURhoq0r5aYyrnmrhu+yd8K2PJPG7dtpZQs4Vk8yp6dDxeSzACU05
MCAE8zEM0wEu/GwnPWRC5G3uhkG/Lqs+zK4BBmnDD0NRl3iWZUEPZ6Qt4ts4MWCvu6SLs3nGu4T+
xl2Piw+MC6vUnhJZfQ6JgLDPhcs9axrKHMWLPLEVcarE68WsrRKIbKJiQA7N+qSasj5w1VXdkjjQ
siJJcNS00XmjslYekriPAqhJQ+p3D5Ce3CVdd+DelQHMAGLM+4tvv/z4j3OTwJ/bNb//cndv7u8/
wcTU3YW740/tHvTlY/Cc+wfv4M8nP3wFxX4DbL27mvcbbz5BYkf4+O9ILN5dIPAl/f0KiH0KdO8Q
zdsF99CrFPs2gXvkhITxJwLwzGPoVe4DoA5lZBjkhCYhBnDdPfRKyT60dDEEsCiHcTWFYAf30Ctm
+5zCeIYC0BbgSwJo6cPpnnAHmizuf34MvY5gK2RTAoO9gH4KSDYJkiNEo6ANDtLUz9d+qwJ7khvS
400EOBG5sgoXPHtsUZstKxgnssDeF+Fw+YhWz2xgDF4BIM3sHeYLQ8ZSUbG7M/MxcBa0QexHVdas
TJnnZALYlVBnzKO4XvRc+dlR11PCT9yi2MWrYdgJSBcTWpnE8XDhDa0WZeJS/ztp7e4av+wRpHAL
SgN4AWkqQD1f74vA5UUVbmO8Im0FcYo0IvCcIpBt40Rh5EE8GA6FOC47yspZlHQKclOa9IEGjxmE
J3kfRS0k6b5lH3FT1nj6HbqNsm5oPeCcQ487gI1wBwwIy1O6RTSGeBZSjVUggqGeQPpD+yXNLHli
dSjJbrooG6oljigvZw0pglZ3zE7lxz7y62LiKV6cqojIZumRKhlmMXj04KQFH89h+veLNjzH4R3a
84iSO9R5d5ENXGIMQDv8PeIwNj1mVkfwckBd3C2atMrcRR7LodOAwVdkCtY3vTbGr99GURH1k7DN
S36Ys64Kli/vZfeoJ1uhO3QSyhkAT9m7/zwlWhr4bhcL3ILpt5vKAUtdxuu2HSDLHKIaXEcg8sr3
vsOr54A8OLaA7AU6ASUZwWHpYCyRhn21NFChaSb1UORKcxGhXYoPSM35wAvAG6yUBd3ckAR+31uh
bE5fPvxOIp4eHvjAAU7CijBIJUflB9pnse/nWbIkhYmi3qkzQBlynavU774DYY2E8xaPY0oCt0Fz
wDuNhDNJWdqUaZsvURcS6yinjagXLAm7QeeZCQzMA74kYuO6Bgd7CDoAwQMwdmcan7I1dz0BgTPp
jqLQ6utJdkdC7Au6TOzSSi6KNGHDoq8MZ4d/8tEwnAWTrZCZCALbuAXHHuHdlmAxxPplfiQsHHZz
KZJ2QqKMiI0JBqCrFfZuMc292iq+I1VjGnPGoJQDJ4eiDhZEjKTKQr1XFjTNjkovx8jJqwQ0/c4c
+aIFSXr5oLtqzUiAwIfBhdcA9BG4Uw9hvGPDo7OWQda5xsqaeWms3kw9q+xvKjr0zSH1AJqdgl6b
1AlVMjiFCsU0jBu2TGLb5VM3y/sNtasCAkqmFn3WxxM7Z0InAaS+bhGQaUvSFtKLTmiIl5qjmEH4
kyvRHubIEqetEoHTFSme0ro67rjrnzWu3WZMA4CYK2uWB10QsSNkDV1lXTdxDJFokdc3qnKLj1ld
NjPPwvHCpwM/BnH4mNSZNecoqta4yyRktKhwFHHxYTzIhGuSE7ksIlzN5aDkudVxuQGkKXUSb5di
ZMaeIT9LVkVn8klgocHXYRpHQBSSOuBUL+Bq2eLUt0mk+yaJZqbm4ZFIjTdP3eSizaLhbdOSbioG
U0waXLvzSpXi0CuNv83q6sauBgD6WxbljmqjQbutNUwSUUVzpTrm5JAmqDmQgerUZ9lxJYES2Aqx
ryHfPaxomOuWo+zSxW0yJaKLpC6ytNgWUU3mbs/tWQp1k3MvL+V0QG46AfeMP8oWchPd50U/7Y3X
rxmPTkoq7LdcVrWuRIXfytSPThuDmpsm5J0jQ67SI2VTqE30vE3fAqDNALgLcaOx16PS4alAvq6l
pB+4iz3jAIKfr4jp+VEHpQeH+241571Q81pkZ2GSQubvi24KxqnVtsldx/fhY2ldVvlUWIpaS+KV
wyoMk/rclZH/HiCq2J2AeQg3UdWLMyxdurE8H+pwDANk6jdqmteRtcwFA8grkL1yeqgiFDpPJJ43
ee5PrTipjC4ixMRENX14FXV8SXAZl2IC99p4oZrZVh7y5Cz3oOJYHncMMtcj4/ZXHGfc6USJdRz2
5cJKvW7ZKGa/a1or6LRfJOGhb1mAilSBXR0aVFwSD8WfaM/xIpNlOw8pYF8+IITHuW1BHbMNZ8iG
0Byqteu67yoPmMrTi54NwWRQwKEGEEkoJQaAIfIsmoU1YO2ElI1TtP2wZq5JJuACmikMYUFGm3H/
zC7wKiQ8dgA9/SRy4+o28xYYcoQzzP3fehyVAAmG1cwuaKt73KH3OJDzhifUqbw6W/VejRwW1BsX
MIQ5MUM3pXEUHnZe10wDEkUOtlzIZFom21mDrdJpm3A4bitbzQkJs0OSZOYkpX15JgY3OQ7ywDsJ
XK9fhR7Np0Xe1UsrExbAyHbDqTO0RZ3rCi7oLyDFBIxkyu0EcDW7j7PGcX2/u6ZZAFi4qSOlA0j0
19ivwmgp/TaO3/mRG1vvg6ZPXPgS2fJY98oO/XWmsjT8hN0Q3+TAOXI5pLQ4TfuUi0mbAoB2LEO4
V+I3KKgF7mWRgTtPdDAEIWROApHoRgL6UkM9qy/FmYA441Mh4wQqqmFdDCcNk143J4Es0YR6JY5n
d4FZaok6jbWQVcMWnc9gV2Uf0mnXoggFjtW1LHBk2RTBrLea2ocY04eorqzrLp6p0BB/0ZZQuXVM
n8A3NNTyAZDvg2jtY4/ZTtNBv8LKgwoBc8ouDSJACIAEqWOizhSrDsesObbBEjM2zY2MIWzGBdiV
y9qPukgnLgzraei8UIC/x4lXThnYUeEY27RsxbOYR+tcmXw4YSgHD0usdnCvhx70Y51kEduSAgLH
o6wvh4tUgYh5UHcCgP1YCA+8kp0HLn/X5RhoU0qwHU5pxdXRQAAi9SbUFQgsbjZQKGQnuuuHeHBn
FFd2c5okAGMc1b7IhhMAtqU4T4QEDBAadAFqdUA6G67zVmZSA2NdIkGl2ZBep0PsJ5OcMG6WpAwK
f4FUk3mhA3h30IrZgIBD/tROA1UUs8AW6RpKNwQQ1jKnp1BXBn6vcpT2UKux4jwPkzWOyzgCSLpO
oGPGyduuAdu1u7jdkT1k78DcOs3TGdyEpdJ5gExTgu430A0yTSUKu0mTR1Em9OAPJUknOEL2J5WE
ErAsg3s7hBJfA20fUzssG3vOvTyemcD37HDCGhbVcxgzbqW2qC/Nisc48o5UZzN2qTrZQmk3bYEt
lkRZU04gzAvBW7bwVzeH9BNggqlnqiBckTSN6g9V26YBGD8AYOXOPbmGXbMEVRnVdHB5RSchZEXe
DUQfRfZ2gNh0WICRZOWp54LBdNIUwvZDKBt5wUVWkVIcN2U/7KpaOKfu/yPvzJrktrUt/Yt4AwAJ
Di8d0SRzrnlQSXphaCQJcAIBggB//V0pHR/bOlM7+qE74r5YYVtZWZkkgL3X+tbmh2H2A7asaunb
6kkhGQMTSseqiyAuo6mKIDD6RonvLcqWecgbqJQqKPoqguxajtozFKV+cIt4CVTWvCW1oLugrVze
pZmyB6elOtVzB+lpUVV0Z0LuPvJBV6/U2+w8DU1crC2dyrSj8TuU5W9K1+0JH2+A14QeKM/CNYZ4
JS9xVK3dXi0Eus/Uj+YhW9wnZSHOdXPUHqpUpLeB6Suouh73GTzjUwxJ8pmM1XDY2ISzxUVzgYF0
I97SkccJ+0qZ6QzaUWLDImuzuKRLw8tGKZrPCaCqHFb9slNwAvcy4HCzWLDspqzewiJ22FjS0cly
s8R0TzytuzINtoXlAVpRV6pMdOcmTbswX7gabxNed/KUbRE5sc1Wx7aX9BhS2+xEv1b7tlnfUd+3
SQ7SByDAEKuc9BG/WDf7cyS4urB+XXNck+5iB9zV3OC7bia4pvkwTPwzMILuEIqKw2Jatlz3y3Ay
Q6oex426PA1Hf5q3Vu8GLb5FWz8/qZoPORTcpRy3aimoG5unUeDHaVonr7xbaFoMUTrdzGQY4CY1
U3IvYGWgSgh5jQNvo0U2G2oLHiz2dVunud+1ZnQ482zY+CJMWkt2s1np96wK0hvho/AdAz4EP2wA
KASpUxGog6LdY0qWsTl6q1ntmqbi7yRlnu+TrO7TDxHEenFnARLpPMXmi66Ta4ESUDdNOfB0YPk0
pDOKIbgkbb6hPFC56JbpucVhfa7rln0O67G6yHBlJ+Y6uBg2q+0hhMYLKgX+wlGa2gflPGZiyYWd
l7Orzfo2mnl8MHxGQYVPnz4ZNYIGm+JEvgy9GF3pa8veWgZqo02EOzezHp9MW4Wn5trYl5F3+kSU
g9Qwz7rdbdI6WbQtj/YEZke883Y1VbFEsvpqFp+947RVaREvkyH5Eni8DgJPNuSAktSQqxQORrcI
c8QPTmGT2itgo020FM4lhu6XeanPPdC9fApDnFtW+KwpWDvD/YmWabnx7Tx/tGDpnmnnqirP1LK9
hWEd40CB4bFPRpeFd6kJwCFR0qu16OZR3HKJZX9OU69fDRr+R2zoXYO/0In72VXd0SzrVDpHOr/X
q13bXS0UgIugs10ReVgi+6z37rYO41ofRdasK75fD/81c5IHeeVFd2EeKiltNvept0kC/6Olz3bR
WWHDbSgayeu9nqHczlUNF6zq2xc5dJ/oKKMjPiC3xYgW6w1freKl3yZdsrGlSUm2LN4H0L0PdaOH
i0LfdAjjpS4VHsGlcjfDOrvLUB8+qJasr3GbwGdaRbW+unAw51QoeSMX2d9OQ38bKG++rMpUtzDq
03tmG7MnzvNjNFagfMI1mQ++rc9plgpoTDJiRSbFfLMRgVtMM42eipjgOMX9fM/HLfiUolFxRRds
2xcsVtaXJIyHD13rp088GtZDtKRf2YACEx9nSZcdiAt412G9orlqM3GMWrRj/ZwGsOzb+ptKRXwO
VqwLPO2IHoTutoO3dEZ/BbudmW6+kgyfFyPXdO9SLsuAW/ocowsubd83R/Tk027w/Bt3IDio7i91
stR7tVbZI6ng9Rr0AGeCKrZgc7bembWOii0dWV7Fm9m1ViTvua70XSCAr6SBaQ5jJFmeRFNy4sRO
hz7SfEeBkJYdzCogCOqGYgIBqh+tCuVWXZiR4aUy7s7jWmGNqIF+iFZB9lNUk1M3RKQwLVgaeODH
qopDVGN2ysJ9yFFRbfiF9mnbV+VG5Jc5TJoCTn+2sxbspoA1cBziqit9vKAdDWS967PaqIOj4frF
r9HrFM3yLHVcn7kAiYAq6ynuwuQ7eqzx2aKPvBPoPPTOx14OuzUN1qcqQoFcpnqZ7pkmQ3Lre6yu
PGB1eml6R8C2JXPKl6uxxMM8gPv70A48eEGaLUsPqa1acRRDApN9Sk31EbUPLVOTbTUs/P6JhIS9
97PSh7GdYpOntURTRql8l7ouLA3v5lIOFX8ikq/QxrLu1I7sw7La6WltHOooVdmHYVLr2W+wPTNA
DZcq9qYAJaOfK5LaQow9Hn7nKEo6PMHhDfxFWuiwC+5bwd4JQ9kxbjxEQNI1cTlk3S2YIXzNs0ku
qonwS9ip/4KtDM5HE7i3cZlgvEVr0p22Afu1N6iCiiGOg10HgvjOzYm/wdru8tBG2Y1TTXwWlfyM
1lg8SrQhhQOO9DhEBvc6TqijG1i8r0mNogz3SQMBQslTPzqx83BLnkGY2rsI5f90tMSzgqRJ/zFS
wfR+Anh6B4M9LOjUq2PXquAThFNs4ls37HFHJ8CSWLDtIVlvvqjDin6f18gUW5J0uymK6h2Q2Gin
s7mNcyrnMMeWk2h0edgZd9E4WNyMTV9oOb41ZpYPTHbzE8ZEyqIJ4QQ2gSdDPgTyNmtRm5Fh1cdp
sl/bSM6msErH4wGWdJhPiZw+bomIcsJbNKiwJynuP7eoHarhTxw/ti9a39JcEPpA9Tieq+tZSxTT
lzBS6a2zLLrjILcftWViyLc+YUfbVJd+qCNVjFuXFOhqmjB3goYH0war23EUgM+NSIf7JaTtpwzP
TsQH2sj3BoIGKvsK7erqprqEUFc9R8SQuzG2jIGiUfRmiJjZz+1kSUHpEJ+niiQ7vWXroY6CkyUT
zWtgoPt60vyKhtItytGim28LtPJrN2nLwQG06kb47Fsk4o9aEvZpgxaj82TBPoZ6H19YqpP9jJJ1
hy/gWxdlb1MtA5DGYFaijU47uiZt7qu+O9JV0YIqqQ+rmsWpjmZV1LVzPp819TdBxyhFHc35G2HK
PDqbWEgiHI7gmFzQ0vLXYPbuU6z1sIcC3Ec7F84buqhk+tDXq39Ilec2D4KeuzyDc8hLyI1L7o3s
PnZbt+oP3mOVozrK7J4OEh9smMfoS9bX7hsOS1u0uLA32gaiDMeMpDlfffQMTAXIBsBAwBxBAmI2
YYudijCt17IdwW9cIBlV9U0Vp1WpJZSjz2Stp+QYYrNbSrRd/I1xnGCdDGHfgq9psmDIckFjo24W
3NiLeXMxtauK8zayLFSgEWlqpj4sXasb51AauvXW04YCEGJZTqbobcZJe0tm2X+DVoKSY6oDGz1I
Q5Ubq5KloxynIg7xu53tjx5mbqAM3A1SoZdsrOmiAxQYE+fx5jIcDQnKpItiLf4vm6ZpuAXmPKt8
8xX+i9dNNQSoG/mmsMJIAn8d4BjJ7rYlabdyUDayL3VmotvOBEN8O60ziT8uQ8jk7bauvtpVcZcm
ZdISMxyGLoX/n4M/wqs82J/g0LRKZjeZwgV/8gwec18MpBe4JvjF0CO0U9hEh+lH+4yNu3JfgGlL
Y/Kq4qp6nWWswz2FEaD36Vqn/bc202Z7SjbSQdSbNsD1CAjAiz1sSz83l3SrN3Gpo80mD2Fg2Fz0
YdNC0B89a/BHRJVHC0XqVGEzdD1J6lPq20UcEfRI7jqOHMLDJnjVftzGPoSkWW1oHhcfaiCKI9NJ
ejYiYO6ehRqNv8TjjthFTdRJ7K1dE/QsBx8EeWJSNUP7m1Vh/7BuwUT2YxJpqCAStfRJLZ3vL2kA
knZHsjWJjgt2GngbtqrdG6/FAOec2kGPO7gSVXRIqWHmgNIUYkEtHaEn3yKYUsAVMteoAvf9mUBe
WMooyZAcAAkwiu9BO09ogiwq9NNEB0X3wBli4ETQmI3/vtF03gCh1Fsaf0cQQYwC0JPG/URpc7XM
xhFffBjM+GcF6Mo+cdKBDYPaucHZi6tIt0ChiBKXnoZ47yFBafsem7FgD6iFxIwKmapHBhrik2zC
GFRWj25tRg8fzm7Xgr+JsHImGDLVtZYhsd+p1tirsDvzpcrDLIi/Kx1Q+7LKLMSl62xK8AeyPNeb
hfuIx7nhdETx1CcVupGpqsGmVSgxXzStasjDzqdTDu5enJlukmg/VwKbFJ3NFj4u9QYWFlwsG/Yo
k73YRY4NPA/qeBsehBD4nI0eJYTFjYlmOHdtTd8DxDLe5boGB4I6Di5ZEePWOOIIXLObDaVusAMH
Hka3w6bBTePg39hjE+mgydd2hkFa9TGaQZ9meymX3uwV2fCpIXZkFzovLgXPZ6/KmaxxMeOU0WFX
GVQE+zaM1x7mmBiqctVUXmmeCbUVNj6nzoBu8aoosUmKmg+e21mv6ZaeebUMzQkVj7VAjH64otGP
yzqHbqbPrFuyvlCAYtWpmjlRhZeB3W4C3cUW6YPJ2L1f+pTtss2uw92qle5K4ZbggpsryO6WORpP
G95xfooEldOnTNMgKH0SywOEbDGd0Woyf4ExtiR7MafxcOzY0pOnRo5+KLER8q3MAmLFHfA4nkFW
oHq4ddGQlVz3U7XfUOyjhh2yOLtBY6TAbBDp+t0E/VicuWEtxN0om9+AXw0V8JcYdy1kGpMV0m2j
/hIJGXUljaz67BduH+oel+joGZ3112v2SqIoHXG5l3rufYnIH3tLuh7rbZwmNFMMCYevIS71J2hE
MjyazI1+H7ssHUvWjlVYemwM1e66wrBFp2jqj91wvTWM6Pznn4vTzBT3aErmTB2J2ZJG5jPT63Yc
LO08shsMwmC/jJs+M9Hzdd+hUIz3ZoaSCFNoGthOCi0u1IJQytswNEPZkNr5c+zZXN+HpALpL4Kh
AyrqxGKgpTajQF9pWppaWg7rBv0xHpN2J3DjJvsEHOJS1GMgLtZnqj4hKjd9TzRZm+/hyOkG5ZlV
scAXF0HZUQELkzNMkb5/H80L1jwwJLh4cu4lhNN67GDNFVuID/fAmMUlmBLkqA5s62vg3TOrS1Cn
Jt1yoF+qO3ADOPOMjh32cM6w44rvAtqOPOMYiOUtuFsx+pIT3KZ72L9Q1gM+xcN+Epl/p/zgb5iX
MMVhRMzYP7OQYvdyckDdLeYVSRmZJXF/5psgam+iNvBrbqaRVe/apOHqkAU8DSiEclTa2Kf7ar3v
QGy295lrm3Gfigx3BKDvNjy4zsLParhbFl10Wgb4DFMfyB4oGcD7s+7TIClXkorjxrKWH2nTGXFC
u5G9RtEYNTlW8OTLOiUG61WMc1P2m1afiW3RdhvdUr6nkMTezyqt1jKSomPFzzPip1Xq+qYTu7EV
9Jm38Vjf4kvi4+MY+QqSBcxU824CPxff/dwxE8UkfbUzGcXeUdLywqOzCLc8AK3aHAK94MIh4Qjj
N2oiet2BydAc2eY2cWK4lKfJNpEo/BIa/RVEeGVKixMPu0/czfHBow57ldGcRiUZOv1hogmxO+vT
bViKZJxWZorGLTEqZVxk8Kq+ViI4DonBbUHBnwNNpguwszWCfQHl07jgQIbWZfcBlM8KQa16ST92
iNF0t5GT8RfIDMrf6MBEwC9xLNoXVETcPtWofLeHitnQviT1orB83WhPkQDMd9MNNdmeZjwoz77E
QIsWyCC4k9pTFcxN9EUMsSd03xIckpdw27z6hvOkkzhQSNu3XQ79egvuNPCB6bCKjpAjj/RVEA4W
huhviRa6cmvR2FrFX6p+BluYRnUz3qQz70HIYpuiWxmQdNyacnQsqEhJMxgK62VQo58Ac6bjCq6u
D3u7iy1O+o8AHvlaVmt8hXhgDmSwCNoMHEpOIZujHp6TZrDPeu7s9IhmwrcH+LE8vUm6ZY0KIVjf
H6eqFx/k7IFf5nJJ56uG7eByHIdepfQO+lOvduj0THiuYZpCbJ8FbI+/1UicLCGqLl/H0VG3csDR
BSojMVjFfb/d1UTar7T12AGCmDaBKVIUldPHmTMTQQtYbXdbi2Byzykwvrps6wX32ZAOuGhEZHw8
QbpAsiAIAiRxOu7k8rwR1DRH0qHrOdotCd7BaNLHdSV+KiIke8RNZbn1Y1HH1jugO0H9LUngfX5C
zxoM7+uEkc9JwIT6QjzN0AeurokTk69gNFEDwLNswGaantWfM6vX5v2aOVV94r7CvVFB3sy+w2Bx
6uhNU9nT7EVbhlsgN2jYDayISzjIUN7qGoX8rrKxJs8eetaU19cv9hjqNjA3Qw8F5a4CizHtt94w
+cbh82Ojl53lY06bJtbdHoNRWQT7EEXX1wbpFpvmYzWmcTF4BUuxExodlaZNje+1fwgVkCf4k1tm
Dx6/8trmSyjF9jhVsKUvY2ti/bkfltkDrKrXFswOXKjlMk9sGo8zGDt6NVna7WYDcMnuJijlQx4k
SGz5fFzRnlX5FozGvx95p1qoIwNfb3tlhujJUhyOx36m2JsVOnR5K7I13s4WDDV4oImAMXZFIL1u
T62uxuxBgGpP7tLNVAxWCyqWGKLIRK+r3oSBv6BnWJYdodBE3hIetNkOMnC/6F0nRqJZsax8hlbY
1SB1y8VAepmhnI5x3e16MBXBdB8G1tDsNhjDtkHQrEOhu+w2vG07/AfY7RcK8Nq+8+scW8Tn8BQQ
EC1/Bjs4auo5trM72LGPw2cT+Uy/DSKa5CfXcJh2GYXj/rB1uELvsy7D8fMDLvlL1Oi/REL/SIT+
r8O38Zp/179yo3/6S/8cQP1/h5b+aY7Pb6NErqQowNw/UDj/gJb+73rBaEc8rgow6jf9Dy/8e7of
A/YROYZ5BBTpCnj9nu7HeAZYDYhgMA7UE4jn3xFTdn32Jb0+9A/BF4x9T8AX/Q0xxcB+8KqYEoAG
Ays4YX8JMb3OJ/wTd4ZkJvQ9wHYxYNUYv8Wf7y4UqtHWZUt4gl0/foCujCxMEs7dne7jCaJOl7UT
qqkWjaz0bixo1PD9NIvlVSQztEmq7JZBiPGg5qie6CFZbet2epgEokKizUqFvfYjyo5R5DHklG9j
YER9SOsxPGBLDvAj0i69971CgqJOIESWOqoyhT6QZTfMuXACmqFSmG82yL6GmWg/iqCN5xyHvFmx
haByzfsmYBTV66RfFxOL12iQ1WsSuuir6Jm9mRrs++j2qlDmndQCfXE70m96MNHrNgizIsG7LnC3
IDvBn0qbzzPOnUffbf15I6S5H4lHYEGqjbxRFfOXDNmyZk+DtINJIyv6AVkwO+99gtTTHm2gGnYR
DL8e+z9lr9y7+AMfQAPkbZqiV4LOUZujdMYfMqla/LW5qeICLSlO1rondV/M3voXlfTBBf+OSo/3
DesLhuonyMc2iX5Sen9pkf/zlfmnxft/tw/8/7jIf2yof+cZ/2GV//ok4h8bw4/X/G2B/5jzjsdv
ZlCbQZD/WKq/je+4Poc8RRAKqCWqGowA+H2BYzo80HGaxRg1gUUOmu+39Q2EHGM9MLISM+8oJsum
fwUhh/D2ywKnLEnx1iDYQ+CteNbHnxe4DHALiXSpTk0UDWD9kiGqD3xi682wtQv7kqWpScsOgb/L
JjIATgylgEQKxcKXnOqued2ghPI7zDGxS14TU5mHIRikLlFU2NyPPdjZuR1cdokwYuHZts28ngMK
nahkUz+9c7q1J4mE/MMyhustaDyxV1sAyRE7zLHj64QUvE55HsnQF/NcbYc2DCSaeyLrnNWopSlU
x1MvUM/A7RmSI/p2TCcg2jzJOavKXg60pMD59jPQjLpImtA9axLPcZEiQXjw8zSfG93hCG00ObYb
TIdTX1+1niQahrpMppmfPASMC+JdoQej0bm3IQgS+AqK1CWnaoQIbytT8BlCcQ6tE8bsUnfo5+2y
1uuZOqRSLkCW5u5xjfV4b6nqTpVFGC9nC1LJO0zJiCSWsQsQSjVp3q6ddPDbG8UKqPn1O48xGujA
p95WZcjQoR+AeCCsyQJwPVExMtSlYaGzJfsoKcawiCQK15PwVXTRk3bJjg/tkuWJY+mNQVlV71HU
O7ObodMiHjM3mzmEg9uw21TD3Qb3gdz4ufH3irArBGibesy57eRjWrcuBN4H/RxqUQNNP1b18GQq
Ti59JvtzrE1waUm6PSZUAakE4PKs41R352QDgffSuaEKj7Fd6AdIzIN5Maruv474gW0JaormMsRI
GoSUom2ODmyeCAqsNJtgXYe2Z1fAzKMjJQQRmq+hNHt+cU0138dmJPc/zXIMuXDPDQznIh41L+jY
Lh820PXFP3fOB2QRP0J/pB/01T1n4OpNDiBvRZjw7x46zPJiA7n3smUIGqHtGdobOq3mgCAl0tt0
6l5+mOrN4PVtFpgJjiScdRGvvAxn1nyw0nQ/Lfa1x/le4mylL+h1DNpc6B4EJIDDWSHHqrAkyA7t
mGQEp2dLPo3KilJPkbp4wdIeaAPugFxUAtM3EEOm+Q8zXmfDeqwSZM1lyoC19lFFbvuwnU4/HPmN
rW7FmePBcluXLndeglpBxmTqITpsy32oTQicEi79skp1WMGUnmRL6NuUBt2ReXUA3tvAP5p0PiLn
EV77Z/stHrj7wCcu0h1+Fi4qYLb8OsC/LWUP8K1GJV4mwZS8yyax52v82EAfL1ZQdUmlh2ewYRJx
vfSdrROaZ4tyO7TGB2elgBgKe3+G2vrsp+RVVPblh8WvIcwsxbxt+l4gxZaLzU8Ixi/ps0Ni+BkG
ufuj4V+ZEECCDZ9+mP5jUqvSJf14kJOM30EnQhvFmmj7B+OfuKgqrsjlYz8P02nAdIw7zGtu0TrG
34GjgZtjmNsicduja/gNAZjEWn0SbbN9DkhV764EAJJn7d1kYvWRwj+6hz+LS/Z/wANQTCAoVHWd
ltI1QCh+kAGup9l+pPHWFL/jASzb8EXxFmBH+hWLiH3G3qTOkBzXwrZJEOYzoI2XqgoZHIRsgtNS
UdCI0XaPT4StB1GZogJM94Mj4BKWE4qj9920EZ+HoTW7pbJIPYIqWBNQBQluxlyr+fafkQVWzdDc
+uGzhFX3sVlM8JHPy/J+ZfLlB2aQus2dOt3zQprwc6/t93gx2c6IDNDev2EOwh6ZSyRM132DfN4J
kiZUXFOR44Qff/kBHkCruYfX93nR9F3d4QbfcI2OjkVv6FSD+38GIszRNJSVGx5/hxEqob/aQD9a
v11EWoNV/Vc8gqLW7KWC6thxtQsyXZddHdz+Dic06XZOrQJnAz4BjlKX19qKHdkmgWhuk/EDCmSz
C+uZFj+YhYoZflg5WDaAVsCgsiXJIRegSZVjBzIHR8wPfKGm9B1pE0RaiT3/gjFkG3woBtjvoEgk
XPEfgYYK/HpOoOKcu3D62jZyOFZORH0uQqEPgGP4CZCGPgT9IHCshXwpftIOhnn4vAleLBZ1HMIQ
BqHdZhTuVdFjNMA9Znbkagvjdzbg4gbOBdbrGActsPm4/dyBJcltUOuSLNY+rHEwliFSqOD753PW
q08jsIgDjA71HKoY6LRbmkfkJbczFFIPLClyOjfCx0dZ0/HBQfnEuIutOYolzJ7CDohQ2/f0pH2s
pp+wBZNq3Wk+rXsjdVuETUdvvYqyMvE47ZcwPfa87V6mNsSlIQIWVLMumHnmkWWogXYotWWHRq/t
WzRcATXWfg70oE5AUgEiN/Grx9IqnSpC7Eg1hJXxdWnHNbfD5J6GgXwKYSEXXdyTY4Wk2LlpzYdl
gtIAQ6K+cnCAKbElRufIC+TgLVEjoHeItwAXHs0CTqriwXMkg/Hsm4QWf2c8YGrsejRyq8PGsC7L
K7gKEGQPYxIGIJYcJMnbzittvq7WKGVyaJGg4ycnV9is8Tg1xwwDUQak5lcekjytIHuVcL3DBlyn
riJxrVB0XBC5BB/glB2qyTPYwDwVYdUUNWyWxyXFVI272IfpAf3j+B66WwNNSk8yhXeu7reENxPy
69L6AsAt7HnQCfbZsnXTeWBT9wRPdu9I1RxSZx8mJwxmguBe/yq5Sr90auS7bnQ2r8ZV7xiVK5C6
ND4jZoKxI3qCDgiK/hSi3Su1x4ESdLMrsmmuYPXEPjdpT750tN/zGZOlVR6tXfLEUpMcJW9JnWOu
3Bvury927Nobx4f66Npk281STwdsetMu8wYVRVNtoPigruzTKKBnjEJbTxEDAwulG0RuPhvy3U46
up9aow8NkI5Xu8zkA+HbhmDkQINicVrdcUHoLZN+LBEwD7uyYmvwgkAS2C6OQL+nHdA6buLpMSat
3LHefVYo5MoNONKlrQb32rLJ33SLJd39ypPoE2Ys6He+Wtb9vERNsEMGCdyo9/AISeWD961fO55D
w5JIGvSDLG3dW1nWxKK9dV0T3QHJmvDvU2Zyjq8HqCEOZdM/QYrH7DsmRZ52HRMtQtqImmc7jF4Y
BWrEecYYE8xWqq5+H12OISLI2w6WbKtyLkf3AVJHAoK88uxtk8FsjvB8prt0bbfoyL2tPUogFt6I
1bF3CEKTl2rWXZ0PNRqSdBxJvZ/03JOHLAMpseP11L6mmBUmH/+6pvU/sd2F1gR98V+3u78Mrvyj
qvXzpb/JWhQhaKSfOUHijDMYyb/LWjT5LwBqIRKG6TUmHf/e9f5MTl9fx1JyfRFe9Vvbm1znWYYZ
oRgYw/Fn/Ffa3l80UySnMQEcfTU0rYyTKL7+/z+E4WCWAwRYpvDWrtdMJ0b03aWJ3TMEi8hOIwl8
y9e+8QB/Ucz+4ft6+BnZ/GNo+5fkH9465tg5Ef+LKSZJJvj0f3zrEGxfEsnV3WKMXnNxAjh12Pbg
g9cNpdu/fy96bd7/kBolSYTRGuApCIkhLvLol5hh3PUOwLLpbhFxSx+bcKF9kWwj6wrVtRRM0uAD
CaI3me8BGGSAo4j4Qmq71IWtogDt3rI0dxrT9MAGDh3//O9/v3/4LjDwDWNNMSWNXh8Y9eusNHCo
aP6QDLpt+9lhgISoHmqHqUeV7P7jXLZfgsz4KjC6BEIKwb3FwpD8MujMwh1T3aaiG0HYuh8w/+gx
BXLw3GZNeNyGpntETGXdRwK0L8Ia2UcQNfWnf/95f4m6koTj+VgYGwGHOrr+Jr9kMCH+dgb2RHIz
IdZ2avpMnUbAItjcI3KB5hJBT2V+/+/f9JfYNN4U7wXmgP83e2eyHDeSbul36T3KMA+L3gAxMjjP
1AZGSpRjnh1w4I3uc/SL9Qcqs6Rk5s3qur1pa7tWZWVVWaJEBSPg/p//nO+Q0tdBoX1KDidpr1te
oRSAFYs3vFyfvzUUjscRnzyeCl+qw9//ic4nTWn9Iz2LXhUfpgri1uf3OOvZsohdsABJKpOjZs8A
isA6tndT5U4vLUad6oSdU5gHHX/g9yqbltWilVasr5BzrUCOl7nrp+9QqXBmkv4hitW7w2oBSyqx
tYsAAz75wNDzOu0F4Fv9hpXamwGVqPQNd5mnwhrN423OuvFN+Xl96TEulBvyb20WWh5icyr08kF1
g3vfamTkIrvQFyBC9krjKw17n5VFk7KYQ1mWZaCZu8IY0/O+Gln+Kms476UwrnUfMOaE8q1vBAux
7qB7vHUNq7TwAmLL/VZUmbYi/WLv/u9f5M+gQV5kx3IsiKUmb+k1Q/3HB0nHHaqchOzOJ6fM7q2U
iduGm6ZFSVGofM+0Hdxic5AP5VyMWAuqzDgLBD7YTZOQ9DgsMeQyJZW2xQPCpWccxJ2md+7N33+f
nwXGHywGAJj6R9r5T4wIr5ZAzEasoTYradgvVltlUJeM7iUZC4BSztzYj3XVBSMzQl2cmXobXzK4
pmCVhqZLseD64mq2k3ttanFR122ePfqehiO2sKbiIomb+pFYS3mjD2J6g4cn9gupx+rK1guJtRFO
FyHfzPuCgOUeyIlUb3bmL+8ira1HUZf+lVmU/b94tH1Ivn989vqUvLMj9SkA4wn8eS9noOMnXcB6
v+3GHH1GqkX0xcvSaeSI8HqhneEVzY7BOikPC4zNEOSj3USdGNNXt5w93rhmp0UL1BjsMUXW7Oe6
KsZQ+kX3VpZp+14MsXsWaDNKbCfE0+SZxdZJ28sabeeWsAYCpx5PHkFf3qihsGNnCSdnwm7habG6
EpocXvAEDlvumPG11hTyCgRxTnY5bcR3GVTtCWrqdEFwgv0rU/YKr+m83dAY7cO0pCwsDDe5cUQ8
HbBNQuXhzzA3qMzdw+S5zS5eQU8chldWKUAssbZqv7jaoh1EGjfPMXfUC9Po7VPHhH3q9TndxYuP
pd9JZ97XYx9mCeMBkGE7jMVYXs8FbnrD6t3nqo7LZqfrZvJsKew1ll8kO68ZhkdvjvPvg4KsGCSp
hW+auM8OD5F1q7S42estTslIDkTToqxV+WFxqumS4d5dQmvuiicpO+YZoy/jL545gEZTgNm2tVsU
p4LIXyTAhvl7U2A7jBIMPsWONOLy5MVaGQC8jt+Zir1nMaxhuTnRLDOaPOwn264bl4vGGElbo1+Q
0pSVdj7ycSBHnxD9IkH91XIz7ch2vH3hqVrtbU2vvyajoZ0zgIg94CogljH+UwHpyoz3Ps7ea5zx
6p7XaSBf46RasdV4lJ7Y82KWTAsS75tuKOR7PUvtecGgeWtjOcjIy07ellV6367WPP0+IVW7zRfL
ulJmW5DbNexyI4MsfsH+SLK3w4JRhEvt6sfBxN8WIpZPZ67Qsvd8Kg0mAivVyu1YNj2/DA/ByTCr
OQjNuvJfk3GpbmLdTjeZJ/R3+FDZ1VDVTkxyqwA40I4cyXM/nLsjsGXAadbRd7z+NjeK6s0jp066
hEAltpLAngiNjlXpRamTKx6zNXnzVvMbc9c6k9vga+SID+ve7BE9lhmZAiSrbxH3m7RbbMCE0uOh
4wEtcq+B7mavkDjyMlVE/sdervVaOdeYNO0oheJ0yqx68jbWaMqndKyWSwY8K3TMOd2UQibhkKgh
DEbbvizm1LrHWJo9dfEkNhmJipsi4xCAMxuoYwwWdauSdp/2Ts3iwc0QSEwHQ6hkWk+MJj8tIoiZ
IeNMXWmWr4XYuS/8uRB3dtw0F02RVhu979K9NfNtmWmJg7/xd2PSFAjmg7Mxun4TVIZwwhJL4G4I
JmMjpKuF1sCbLtDJMyCYtIdx9J+zARucJYELlp3uhQO2rgvRZ/nelYYTZjBWIpUUbtQPzpuT2iIy
tcK4xJ+5RDinbzH+npZmAl0hbPdsSb07PkbXQpD6TdVzkqrqSx9zlTJXRUQA7+wczvA2Z9Hgp/aB
LBeiZMZ7c1mmrx/mckPwBu6CvsYR17aHZeFH5hCNslj3vvBhDHZB7w27ohizqG78LDSXIGl32Nb5
uI5ePd53/Qh+5UDuzbW4VSEuTq3a1OA0C7Yzksl/jidZsgqSZblt27zQNhUyyIWeWPpm1lsn3ZZ1
axJDxVGz8fD1Z1Ge2hDLNNwdtwvjwbXFcVuFutS1hDUZruZ1McLUYFbEaZLazB4xE63oVa4zUV27
zVWNh+7AP3yuRok2AeJleM7mFAZfqen2tZp5aBFJYoXjVF11WBrScVaJTVfzVHOecciR8/1gq/F8
RC6tW83mDGisY80ahOwayWWyv3Z3Jgx3ilI9T+Kwiqdsr41F8NQBcYkkFu7V1lnVuzGe8tukt+3d
XLrxha1NK81UaQO2Oxwv0xpibbNzv/Tjt6b3O43cMlyUIcuSeVtUPGwQfXG3npo2zRHs1XDVzDOw
76RrTXylswMSNU18/c52FW7zYKr8bZr0wz4bs1zHsNUVJ7v28jcoogHM4GIMurBXcjivG2m9aWrI
Ic4lLQ+LEss5T37HNnZm3HtgS+faeG1ha2+VKrQvhpXUj6Cl++1oztXN0i7sCQcw/GlkjrOXbBJz
EM2mqTFQRdKfWuSNwLSMKNPwgCVlHoND5HaY72tMkHgnZ2vj+u0aa2gyhxVJvFIivNnd6M40RF4v
KnwFjRuciCLYD6MoqnewNvNX1hOEsuN1qbF4nO3R3JvOFnO7uGN/l7Gd5NU6c5SlvwYzolWbK6ik
JShltmNTgsAOgKi8gyhAkkgFk38zJXk6cUYoY9zZellcjYPKqpNvJKg4TqGZZD4Z+BjiaoAAN6Uj
dPxXsYViY812vGv9GeVRLHFas52rrDTsK2iuR4mWd+Pri3vdLEF20xPICFYiwzAjnRFBPXIZwjzR
4WJ/8pt2/BKYmfmyQCy0ojXsG2+doqnvgrkVVzwjLXfXs35F2iTVOkXw+yWUQ+GJrRsPrE4zLNfM
nDLR+82CY2W67gkv3Tt4uLk7GFV3q7x0anhrNma/Z0PZ3zhENk/gwQzjiHBtFOHHhfS/nQz3c/P+
P//Hf2pXcli3/XJ1/7OT4bVs3r8m779qOj++5jdNx6c6DacZuCT9g3jnMkn+5mSg5tbGdISk4ZDJ
95g2fzoZzH8AG2LwZD+xFgisQ+9vmg5CkG9gLsK7znQKAv7fKiL5NOeuUhICEcBGJBZzlVc+zUPg
YDlHuvaAlnxMvPE4OPm2t/sryyv/xYD75z/KtFwiH4GzerCcz7qFTMueHaxdH5gzX1CzXulHuLc8
9cAL4/54u+Ka+WvI3yeNhL/WOuOxz8f5CwHM/iRV9aNwpji280Os1zIEgptcpOlCeDgp/5VG8pd/
lMXUbnIGMV9+egXztGw5O438gOB7zwv9Rc/qqylPjr+8rf5CAftTzQTExMAAb6FznHi8OXhb/iqB
gb4aE86oYN/iX3hVhds8EfjW2dcW9cRN158POlndow546gpgRD/vCeKOX6ZGK79KR2W7QcriKder
4QBHuCUuGrBkZh0fLATIhdIvIdqJd1ZuLmZ6e553bNi5Odf6IHvwoVLfT50B3env/2K8rf+otxlI
e1R4IE6uXR4Y0z/pbVUw1O48tdaeSJqTzWCQQGOTGPpBHYoTVhfpNgXcJ6dbfoi6U55sQUfBskfr
HkDTz6LpbmBuQwtHdxdky8G5kyBDNq/vfeEW0KQquaTfScNXON5a+9GvE2o50gJbakwsjGaVqfH2
U26QkRexyY5NKGdH4qYBT1epu2Ac4+44Y/e5zBxmiJIbPKn22N2M0Cpg5C7OcCay1GdsSLHYdcTI
ztI5eaPLpSKU71VgEriphgN74iUyVTyju7j9eDbNPrQFoZV5lLMAmoZptE5tZqHf5y1Ug3GcilsM
QZxIpYy9JsyXXH9BuARGoJQ7Xs2zZzGYJK48z8ljX3ls5C961zSfJYkLWNuDc5bnooN6BD92xtC7
GTpl3ZlgZfR9OmfD7awV08Gop4t48LuNi69/inBSO+61NnZZHS1gVWqDfH0jzoECFHPU9BPs1dRY
GrVDmJXLvWs1ZXK9uIm8l36ln/jgQVjnwvHUjq2+65dC7D12j1fcM+ZH1mjFlUOW8VRPA/iPapbm
pePjfsYh0flXSFTNzoAK/jKZmNDLbiixBrHsIvpX2xKEFYjhNDIyu7hpHWp8wOb4ddSozj+yj4u3
vmq4dJOSyOOjljpYDhOt6h7EZFkPrIiZIPAm9qA5uE4tgICCJcVqpZMgbmFMXgqj1VlKr9Ezr8uq
R8Uyvtzy+YOpUNv60nNlg9QFD2LUvPmqyvzpOfN6NuYuoKgu5FUNujnsTVsNb4lTB1Arsnm+BteX
XWiKsgHiv+UUkuOiq6JlKbWHqxfvZGNivtHkmsG0B3sHo2bcgjE1dnNiEUrI9PqmUIl5Vqdu42Ow
lHXVhl0DVgrMvDv1oVOn6WWrjVAg8tw6N0ubK7wCGX+SVdwCCau6k+Xatx7K0tkgLRJoqaYuyopq
iH5uk9Ok5YFxNnPXgyXS5kPfbEXaJPp3CPil9t8OyR8Y3X9xr6A1hIPiP18ZQZFPS4TyH7/Zhz/y
4yt+3xRhgsTCvvqbPZ6YnKj/vFVwt/8HCwJszDaKPQsj1hu/MXbX7u4AezPSGiUP4N5+booMKtXp
WV87TdjxmKRm/p1N0eejnsOdGw3f3l/fKmZDpGAVXeMIC+rIRT4C2LiFVr1lzN7/8rL81bn4cfD9
sq5B/zcsj4uU6+gYwjkZ/3gwts00l77Up+PoJFSYiPYJuSu9F00LeKKK3fTCGZpsk7M4gX2QnTWd
Ph5qs7NxQMolSnMvuZQA28OxUPV27JrkqIxU302lJLOAr3kTyP67Dv0spJwho4Kh0rccVTrVD51H
cjXlqerJdM8G/50aoAfTyl/7FNeEpbR0MzHaU9lEV8LSyGfLrPwwKUGp18GmybMbewrGDXCD00Q3
21aftYdMWc+NUieFchsBDDl2WW9HwnGe/b5/6YT6prfspoR9bng5mCJRFojRog+5oOjvqmm87dRb
HcsqBwh7LdJLVRU2zS02wdMuwapp5s4erXN9rk+SjgCdXKaZTJdxL5wLikKCqDPRBQuWY6HmxvNT
RRCFLfikEwUcVMywS1Z1siTArrJjTB5epdaybw8soPJ4hrCNh04W9z00FV3NkV9a+q3GG1NujNob
3wOw4rf8qimLSOjOY1T1DPn7OFiAmqR6qfET0Jc9+5B5a/XV11bEMnRTnXSbK6gVk5YFcKTEMRQE
WhNCZQMi5wXL3qxYwpXz+IB3eGIjZdQ7gV4cCdgvGzdZ5i0nocLdpY3brLEve1BXYeX5LacqVBlE
8pvKc24qRvW9p6zHoXC5AFUuCTMv3+vlXEMLXNQGbk+BLyU7LlaeH9eUIZY9lvhlWT+bdU1sb7Ee
F33JQ9f2H9qsv9XqxUe67sjdjfhJLXye14mU7qlKq3OPDA88TuqZpAJqaWE7HWDch+SnAG4JoNSt
C45/tu0rPKCHpq+6I+VrSKKdndFpVX4D79FH5lBdB+3gXxaqf1EjAayWFPe2yJtLV1f6A69Tuem1
DgAdTjQ9dy+ZoYnylDheHQ/qi5tl2q5JvUvTm9odi+hhh1SLGqHcLhqsgSQm167Qs0Uawu7vNo2U
y1EVa6sBzzO8soYHnXNOrwlo+OmhsSmekLZ7k3btGSoI2ly/DrDFjsXFdTPaz+XY3fcFQ35QIP8U
LdiljJejOuRaOYd+m+0LXbuax/rS4L1O9uhJtwTXmf676VoPVQ5ENTbc0AkemhJBwxtiotiODtVI
2mpXi5HsH0leLy+/WmhNe08aiLI+wWPoffQfoNUnLqkKI67P6W7pUa4ktKhuOHMV5yaXkwcXDiq4
1iZM7G64tdlqPc8ctFyQGuLE/k1g4qSCiJ5wCbS/xjUVRaLiUG8Mk++YfwZjHLgOOFSMgha9cG3a
PLRyNna9VN33WQnoZawKdEyjftdOB0Ez2hltBz6h2irLwEj2d4UP7w/X53vtlMZTMDuCX1d3M4UH
CZZDiHea5AaBYAYy5LAY/5W40v+NteP/wZACzR763872a+vp//qP4bWrfz2Hf/uyn0EFnXPOtY11
KU/m6JdzWP8H0gxmDsY1y3fXc+v3mlHSRqaDkcEMWGcbDIU/p/sAx0ZgGGumgFQzv++/cw5zGfg8
W3GeB6bLYtmigcX9DOLWp3wwNRiTQAIqNojLkEz3w1wVxa7AM1rdTm5m9aHdmOANGw1e3qkbDbWX
AXWJOzMHv3HymFuM29Kt640GemlDId+9RWQ5mgK6jYZKch4sw1sl2Gnl2KVW+pLcErSEvbZYJfFM
lWVAFZaHxqiRucbs0OcB8DpNpaB9ARkbix9vFUyfbcswu2kVpBiDFrCQZNHNYnLPTyzxWgbz+2DU
MIWI574HXm9EXTHJLwFrhSOVj1pkmOS0h8c6MDtcYfVD2zs3idewShJFt+uq4L6Mh9t6kO90HiWh
SjLFLnw86m7Wnwc6XMrJtO+mQrLjTZhE7CpeYOyh56cmm9ROd4YdgKkOrREuH7FPF2YLkK2BnNJm
RK/ZeDXLvapgxMqmodqqmc+8hufqclAN64I88Y+G0KZt4al3U0h5CGYMJAp/9AbRNmGtyU0/KOA2
Jonn7LD2aCSXalhLE8BdMX4rZPm0aDAsyyV4lUHnh3mubkAi3VE1+i7muYpyq8nuyLP3XOyxxLd+
OQEfJacfdIkHYMe0NomFajinx76Q+bbuVbKTBbonTzUG1HSKDx6LVBysGqsT38GPmsAzkarZSJ7j
MeGwG7w4uF2kY4a4R/ybovRuplorzwSWFULmQYE7pDUx4i5fhma+yFnIH101yEPeWPdeLt7srriu
/DxgXTSxXVR3o+5TfWRPObxpHc5N/FW5+Z0XlPm5NjoQRpzJuoYRnMFxBmIJILKamwe/7Kt5hzMv
WQ5dL9m41KO3tF/bSut3TkJCG8K1E3ZA9/d0SnI4gPENAYlfaAllR0Yz0LGVsBDAkVpHjnSmO5Ur
KpJUw1jly2DfZDz6c6Msr0zwFlt+/DMESyvd1qXsSJGba6mkKFFhhxtQt8U2zY17Y4DjsXROdmmD
7d2ORXOvOxX9ORpYMZM3fWhm2Wsz83SXceHvJnAZQIFSbWNXFDuUi+Fcqb7+ppt5FQ3IGNx+csXu
AdbkwmSJW1Cox2y0k9tx/TMDX5O4YAsdHUA7Zq6LL2CyEut73VnlctQS3iXb3JwaK7Ibkj37wtCa
26JkVsV/TIdLuMDQhA/ClUyEpVd5c4TfVWMAXN2XW3rx7C8dPTjVOjB7p77sshvDITewYFh81gVw
cxdi6DeyzCjXwKq8JpqnkcZA6BviLnAnF0jekmdU4I1BzlYFcjH0S3ps6MVyuRPRSze7tAohwI+h
0jsz3znWVL/Y5eDhA8g5oUPXyLhqeCWwDE7jIvA3ChOSE+J+LG+zYFhofwgktvIpzXe+IDWh2Txu
fI04YFgTMRehzg9l70FDMU8UhEAL4HoCaCcR3OokpW9W1JKo0McqXY5JLJ/hXPADmeKeG1AOWOiu
qLrkWx8zk7MjzympoWGKTQtYVP+gDBSYnWLVQbfBygCIDC0enz8mnv+W4v/FyAyLH2Xwb0bmJH1t
Xv+QGf7xJb8f1TrdM0T2kM5BX/3znA7sfxhot6avr95C4yNq+Pu8vNonXdpQyewTRbTWppbfVfi1
k8bkjOYU/3GG/zvntLGKt7/OsK6PDI/Kr+NztBz/4///xVrZyY7N4ex5e49UcKTXk320c9xaJrXl
GK9EskFPSkksKNq098IP7DkchzyYQlvVsoKpn7lff3nx/mKwJmn5p2+K8gOkJR0/N7wr69NgTbWw
mssC/rCJ6piKOrvPynwCrevJHnCHTA9d5X2N1cgtwLWrC2MK3pVZAjlSbnBH3xIZQ5yQG2uKHfzG
4MJDLU6/8yHbteT872w/zr/aZn5pGj6OhM64KEZvQ5TK6nMb4F2tbwY7cA+z6yVwjLM7LXGDl7mV
032qp5uuocYwmI91nJyGAsLcR9mCh6iGgjpjkU63qpxAg34x9Kc+W8PYPstlvaUqWkuPFiHjLqm+
c/m4WKglB+XSrfvPi5+tDMJKDw7Nz5AFR/up7jBbQ7LZFUFeb5NlMbZ451Nylh73fNk8WtwWasPc
pW57hWpWXf1e12A0lvc4d/AaUIvHBqtcGru8ar8VOAzLMKVauMQmrn5GGdmo5BBztZyJjVqXTDLP
o1rAtv6h20FPFxiBjnVpZvGVy50u8nTaDT+KHjDEhLp09IiNeSg9Jz83Yn8KSx6GoPF/r32QjN4n
J1XzMc4aTqS1/4E+M9woszz87IDwmuw8s+XrRw1EWZlXmYSi8n9QBSH0eo8N54L8aL2rJtjvBPsA
+adPuUERdulShPnHZogkOUBFnmmToB1CloZz4OgvyIua8o5AyVsguhfRJH2UmKrGezB31+AVV6wY
Cr8jyjclgveflRFeK55U6z0WSUuEtiSXRVVbUW5tIXeJASE3VkQMQExH4OOOXU6slovdEUhSfYS8
EZlAgrop/spA2TyyWfhqOkDZvPj4o11CTBxyuG6TbeyX842TOwDbdX3zs2sCK3O7qTrt4qNvQluZ
Uj57qYsCUMfWB/Hxl80TI1N4NOO+2QintiI491bkK2PvN5q31y3gUh9lFNQcumHfU8ftTSXq71L0
gE8ah+t8e6oS82ucsxyijDPF2+SVexrsMHgauQHLD9wJtW/xt8Yzjj+aK2Jl2xFLCO4hFKoelqm5
z6o2e+w8H8/QgnMBZhOUorn1r8c5VyeaoaPaflkANZ1xB2QNQJ0p3yzFFXTaextIhafcn28w6ekb
XFp3BnUlx6Fh/K7zKoQjn4TuUD4UNhRhFhuneUrP3Xo5HzSY9B/VFymuv0upS4Z1qgQIiaWloOf7
D00YxKqy8xGMIuazZrrQXK/Bg0JqKaq1W3Av1uWnWgxQPqxiUi9qbIPgjOV9ZR3v3bQLmlfYWlN5
gJpYHBLG+hCegA+CUnMidvrXHZ9OrU/sM2hY8iTyePkO5Tb/JrpGw/sgE7gwvs+PygvuYAvxVrH4
+ytjiffwe0roOSSksI2vcTH5nWST8bAAb3xMUxu2Q9HBQUq3rCDq79kaw01nkVCtKppB+6bTfXM7
9PFaaRfX6XsKLX6n1Yn5hElS7mXvnKRTw2Kwv80xge5Gc6wjftyT3Y5alMqm31KradqoclN9g6to
vo0TCgfDualwcwQd7g7A09r5ojIaXQoUpzptcYDaVnlXklGn6HGm/TWkNcJzNjhidxQZ4FRsxgkU
FahqHTjjbeM6rK3QvVaYYB7k/WUGsIaaZyw1YP7dxo7IocU10dUOBQ4MBmFIjVpRwi30y8IwGtjc
PWdKM1bFivjyWCKyhqWvunsObS2nOIeCkjAdfREctECmRLMNrzt3k8S4SDvzPiMKCLq/GBoA7pN6
bvUO3HuRUSaZYlarK0HRoI4tmkc2+X1lye5d2UN7ViNYbYnW3aFuJUnkCG5/kaXTq04cQm0DV1hR
0TpScTufQTEL7CS33mBB3ZgFnz+E4seYpB05bzGczMa1vkCwjDVKc8hEILwG97xlNPZ9WnAwrcJg
dALqlVHVmVhfZCzELjeH/iZ2SXtFSc+TM2xqdlmAh0XfhGOPnxtLIWqsZw1Xue8qQo1S1y8bZn9E
Ij04xdDs1KZqjC6hSMaxqc4I11wzj18Kc4+cM8VDo2vV22gZJZ2WWG12GfUMrD+pLW22HmcQJkBJ
yU6EmMxk1fR9a2xsSWj2BrSudZSODA4Fxb1XvGAZiLmhA5REol9+S5a6fRs4Ve6I6A6HOCGQTOmF
JcJkdtphpwY17+K4XUjiu6bRhgZmVXVQi5lSl0D8LbvwrB7Et68ByT1fGm1oH5QDAowjP8eWiaD/
LGoh2NqNAley2fbqJRsGQm1Bm4IRjLNAJFs04H2B77HcKhgISJMxHniP1svvOAVcGSV+kmxnhTUx
y4QbORAbDmPl6WyCez0qsiJfB0H6ovHd7nwah07YuLDgFfN04+cAN0/AnpLqfKml1L8uvEG52cjF
0cqdO1X8ZHGb5Y17rlsVj8SNM/nGCkbuOn+bx4O53BeW1jRYomgrcS7yoJbTqyO95WFsAW/dAmcS
8X+BNvT/mXyHW+DvN2hJmshX/v2rePfji35ZolnoF57O2mhNVREG+Cdk5KcXxzL+4SG08C+MOtiB
3J9TgOmwauOS/DEl8B968O9MAdwcP924dYeKSyw5zmqT+bP7HRSW5mqdjM/cpXXKJ9nE1RbpZriO
Na0LuDACy532gz2Om1GvNVp9OxE/Uj/rinN/ycoFCR14JoSRehW86hljfAG/BKeYqc2Y1AqDCCc8
km0GVbA4lGPqmmgttFFQ60ykR5caywthJjj2xLju/GFep8Apa4cyj84YD37JCjrS3dHbmb2fYZLv
Sjp6/A7zdh4E2xI22/uwVMsGlCXObViYV9jzRvzo7MfssKPhGM4iu2hnu1hm8eTA4rWIQkJOPbl+
Zm+qxRxtoEHTyAlB6wvsrxY0iQvcwc3fq7gazOvOcOrzXM+nCXMzshzdWcD8If/S47UzE0+c8x0T
/4bGYpZ0dRNjDyekASK6aRHYYeuN9bKlHhnMWIGp7qHIhq7fIfVgSFzsZZ6jKne6bz5rkzYk+eG/
UBTp7S2QG7RGTS5uDIfi8jva110JhWHCT71rWDhZdInK9JQ2bCRZOTgGWGgLNCXVGG5WPRm2W0/H
IM7l3ljDwO5HLnj5yAhjCFgDw8FHerj4ESWOP3LFfBEZY2z35I2Tj+wxzTlrEBkmHalkw9I0+0I4
Y1Ihaxm0RuAzcCZCLBAjsUkzW1JaBM05TOPlSzrfe2YbbJ2GyoMguZgnJisz5RHli62Xx8+un5/D
GGXukniO7XbL6PzNkrFz/wlyD2g42a7088yvrZ2p10cdxyqhGGyyFEBS0QH2vo6xxzhBfVGP8ktK
KeAmWeC7ez41XVWj2xGFKcdOAWXo5OiR2l9CfwXipw3kXPz691xB4keA2xc/wfhCKdgc2BYggI7O
mePSSdA41v6Dkm/EwE5CENVvn0j5mPvbKObWleOTBbPAh0ijccGjzwfjbspoZGHi6ePhaz7AzvdN
2g96emS2BM/S0Gm1bPeTou+RzTjm0MqZQ6t222QZaYpZBPvCYkuqsaUKTcRp0FWXopZE4bUVEULd
Kxcch/IOSPu5NOObvFy46DsjC84pm8rNnPvDpeis9MYe+0dKBYrLoM/cCL20igLojGHlDh59AMXj
6GVa+EHhT6Dlby0XM7y1JDapxHl6gqYTXPGx5+cKpCeaZ8v+0tC1Yok5WQtChieltG/dBKQfk/A2
MCyLK/HvoH5iXNVFV5vvZRrEZ3OpzHXG3/IRx+XqOO0GYHl+7gR5fKWoGg/wKnVrhaC+m2ugvkv7
LRX+pvV1wmnqeUpJC9A5S/3UUrzmnnA3jCBmSN8aUKSST1iD7GgGknsmHBeM+cnMclM5Q/RP0r/j
sBMOCzvZ4w8iltP2L54ztuc+XVV7t4n9y7jt9ccExYYsemC9mAV56oxF5qaDFVmvrul1UdkarX9Z
14Dmw8Grss3aCgApaeB/JfqdR6cJMIQ6HMcSPIpuXP+sCOAq7kCcYR3ald/MviUigpa6nZ1kOhvU
4m6piHSuNWiph370HhaXOixc/xTQySaLnLy3Q7OHH9SKQ+m4Rw4D4wrSvbavchAGZqE9QnHQCbcs
4/e6YU6lHAk8Z9XExS6vDQfwDdcQD8huOyUHCrjn29nLWXo3PdU9McwJXEt4tWGt8t80lhhrC4Fl
MmIEJUdGwqlDo9OIvKppr4KnSSQyAMdNgNdzWssJ5qyydsqi6THmhY5AvYuwH/XvZNZ5z2jCw0JP
SiNswXCDmHXbHa1mV27A4AfYFRGnkFKcN6gzn9oLppzbLL7lq6YaLhfTrp5xi6HhanG5zQjyvs65
vdfswWG/AvW4r2GeftQajHmS7G3K35g/FAUQedewUlewS9eCAylSMAyaBiq2rfg4F96xlbWK4s4+
g2wZ9pmzsp8M5hbNzbZSqSCSXMljF+OHbRj2AzLvjoS/v27uCQz8sfqgjrFv13YN8MEGLW4OI1OJ
Mx4ELvnLMl0o3CrBxJRUop5pUqrbsfQuCrC6twW2LKqxbHm2ZOYzv2scNQC2s4kwEM+GsJfBeOK5
s7xaTHUEOPKX0ndffDI8x95Z3BAYkryS4MD3ZtC96Nmkb6VOsKIyZXOh93N/SWzNYjbpff99gIiE
by6r8i9yAUA+UYyK4gNaVENz0DdtDkcvWpzcPFZe8r/ZO5PlupEs234RwtA6ALNnb3B79q1EShMY
KUro3NE4GgfwN/Ut78fewo1OEWWZVTkpq0FOsokwRlDkBfz4PnuvrS4Nv0hA/5oCFwek8tVP9Qo8
Ft1e90COaH6kGwa74q8dC9ro5sJQ13YJ0pm+KKe1jnPbh9uRoPOjhql6mugb2wNBRQ2LCapMbQpL
KXSH3/sXsG7qAj71CNbAytZ69oXM9+3UTM27W0/ygXqLTwE3ZIT1JGzX5qbsLg3JsPikB/JLHBry
O4hjceX2iTWx1CGSytrAnX6cexvoBbC5IXl76F/lDnpNE6Dogel18gu8oUXIL6FcXNFtRD3WXNki
WhntfSj8jjeblignkokL9nXjxDCqOqeZrrPFHBV3+B9wxZ+0Z+z0IVS+cvZ9E8/plZ1nFm0xVdiw
HgC0DzujsoNgR5Ea1poYEJk5NlzaxqNqhIvls9ZyeazEjFmRdiLYjwQfcpZt3lJwjbHLvKTe2yUk
8q0fY04SU0b+i0NGhxdHwYP+XDGpFoCy88Daz43XDbcx5XI+oLdRg/vyFzgnbRQidO1Kdhf+q6Ut
7CkUAFCtwuypmwdtFUQeXROX/cXgoYZdxWKek3EjmDOXC4ERec/nSjUsZarUa37M3kJ7FqqHuG4L
2OGcdpHcT37ZDY+GukJq7hQBDfJUMr7mAM3NDTQ4RXJWQ+vtujlhhYQveqE9yl5ehDb1oani+ltf
s/STfQmII5vhMZbD4H1Sy2AhfTt6JVBPFeA2O6JxDZE0+TKLjvEtoL7UCQcBsnYxN3rJ0iuMKNUV
4TodXNoD39NmqK0I/s8QzC9czSOXPqQ5fAcHW9RXvUodeSTUxsp3qCYnu44xwceEVJgR93mNkfoa
KJ9tXwS+trJPpC3U8tWK4+UeEHh009uWXzHCFJ7mtpyL8pF2abgpKsqF4C3SLOPBDNyRF8goV3jC
hjteucRw8bcm95ASBkWBugznG1oRrB9mcOrgq9+NAzVPkW++A0Rf3ko/7Q51YA/+y78XSFWf9/N/
sUCKuVb9tAP5T1kOttdvVfoXs8evX/LHfXENbACQxKJ+3hVxR/zjvhj+4sDnAMfgO2cjyJ9mD/EL
gUQPikBIgz1XxD/NHgBpPZcbJfwXdo240f8lKiUA479dHwMf42VgwxBAiLbt1Vbyc0SA+qyYdblb
XKbKdPn3gfNQ0heQtjaCG+LzvC06Oy4u8MiT00wnFTsbBDAvPozVaJdPc+YEGCKjsmxfFZxtuell
gqGOZi4Aso0Uk9nBUE/eJxNSS8Tl852nPCquPNsCP+X2nv5C8WhKcW1qMcXVHkkykAItm+WxGE21
wcbAaosUciUfKTLNjlESgbXyrYiOnbgo+y+OG1IIRTrK7FfSzREyz0QQXSc732tjsrttuOYAP6dx
XTwupnff2I5H9qY3eDC63p6e0MTaayPd/o7EmwqOHMVls5utDHPnYHn1pZMFg6g3bTbW5afJt+KX
LEvj+8ZqiLRZpaiDjSPt6chLND8GallwavrQ/658Ncnp0W5qK4MUlfjpU1BPlT7YrKumotbqkaQE
KuPGHwAjbQDvNDucCf6ttayMIHPmBXlndhA2LmCcZ6JQR7HaqzlzhpIVOYSLAfoQYpc5MPN0n6cV
TqTOnKLCBVnU+vb0ie8gvZodvjVXLO/hijgS/Qo7Shx8mCnFrNziVxjSikWKz4Qkb4UlCUbam3EF
KGEVgaXEL3y5NCtgKV9RS+0KXTIrfokf5Y/uTGRiFoPONEU4bO25di+rOoIn5A427V+EPbeeTJo9
Gd+GiqLM3psV/dRru7gOTPutgArFIEFsbWD7egpWaJT4FSClYEmRZ8k/pGszktJ2wA8bc2ZjUUVA
8h5uYNOBPKNUZUOUL7x0Y1hRc44fvR8wcTRmCPY2RQ/fWEi5H45G9ztEZrrvF5kfNTCs1EDFMmdA
lllZWd4Zm1VDQ2TFRIlDcyXt7q7zOsk2hsbb8iYJdfNKg2J0HNEj59tsJXOhSqyUrn5yOwxPyXp3
J0rFNV6er/Tz+XrPhGITg2Q2Nd8iX9Iz1SyLd+eQy5sOQV54qATMLylk5s4LEDAIwm+MqMKjg9fm
SwShsKWUDc0hw4+/Q9Sgs1edVQm1ChT+WavQZ92i88aIT9xZz6gLrN6b+qxzVEOB5qGciZTGWQlp
VlGEigP0kYh+M8SSUZr6mscPDYXdKbUQ6leFJa2Rmu+CePamG3FWZNgIyxfaT9FpKEJAs+kUW1CE
pBmks6y84i5bBR6OXRqlVtEnDd2YFotEvEbJKKMtHbvMq22bhawuF7AjuplZRQ2rqmQ5q8LEOY/a
xFRjSAULnF/uQrPPdgSu4l9RfpAtB7v35ovyLGFRqoCcxU6IatulG2bGTCGS5Q6HLaEkc9bDGguT
QMtfmL/geR6r2w54TP2VnSenqFwP1Go9Wvmzmu+O4Ap6UcWWc9SJOxd4ubIhvvPtDg+zZzNNUvdt
XgmTDkd6jfzqNJhqvu8TvEB4wxyivliVEpiD5KhowArNAqOwRSd65MPXb2fh6G85zrXj0Of1Qzrk
bssavUjlD89ZuJhErqidjUsF6bag7MQ6lVQOfWEfM2LUHuYSMzsmVXj+JL67zZwvmGFAWo8nq03F
q8tKcG0eTfJh13bgwTdZVxjYnoqIfR5eNcu8zk+B/ZDkZrgDddQ5Jy5NifdQxwOranIto8sIPktI
30HWv5F2rtWXsaLilpV28U7fVmPtat6VNC8Badw53CK9b7XfsJMt+dyFp5hYf7Av6KxDt6K+8pKJ
vpPbcYEEC2Z1cbHqUhOb0rr83Lj1sEvV/FQ7jt7aqeceXde/iWLR7/y8ILaMaWbQ3jacKu95dmd/
D5rF8Al1oo2gqHAK/eYxdiJcPR7NzpVXQfBQ7oWk9oUQsbz1GqHvba2yd9Wie1i2AHLpdViewA2y
eFsOAMqtk+AFNl2FdulhN1po1dnDTGyjkx0kMn7Lu6ruVl2TxfBrWzTG+UprYh7Rlk27B7Zfw/sA
YoWeh0MxTzH2+mGWt0bnWL4nksHDB5ebunz699D23xnaMK6utpt/bPv5Mnx76//ff1Q/y/y/fdFv
c1sU/kJAxneR6vlPpqw/df7Y/gWWmufwpmB2ss9/62eTLiQaYjKkUrH5YH/53fwT/+Jix8ZHRJTG
OcPY/u//+Us2tfvb//+ZbRauY9lP5p8ADwtkK/K3oXDx/Lp/G9vGIh3od/Kh/EMBmZs7MasSXTrm
2jDJy2iyQCp9yuZ0CexDZcm83NF00sQolFUU0MjYxlkWPDe1x8LWghwEq7Ejl7BpumKyT+tlnnJE
v6MaNMGsv2DVwdmgzW1ahMN97w4Lho+MFsM+wLUeDFB9Gr/C006Ha5TvpsZunT17NSwi0EYQ8kaM
GdmpTiJYCngKix0iRPXNjxzruUq6nrq9Bp16omFZfgcN11MjxNqCfrIZwwuJt05PV5VVTM9htwz5
oxOOXnK0jJmeWt/0wRUEDrjHWTfgZSWAumw4WosjxlsmjoIcHuCMYPieKj8d97lVVT2Kcq7G4xKh
5GAhdpOXYYGYqWVToBiG4fAezlnKxJDGaNE8qRQArnFQGo1yjCMFn5kaBvVS2VsMqORHKfakbmFK
iZVSTrBGTL1fA6ckSNb46f/so/2/0FvvuAAH/9lTexzeqrdieOv/ct367ct+N+zFv6AJh9jjQ55B
qP08GH/ct9xf7Jh/Ca48h3z9Skr887lda13W9homHz9Y0Vp/PrdcjbgYoXtg1kXR/lfWdS7Xs788
uATYVgxiaAt8/nD4/m6uDzAKeJaDLjaEEJMyMFP7gt2ZAbimnXqnVe7JB8/OwmGDCz/a03pnTfdz
SBZVU9N3VCTWQub0gQonpUUeb+nhyk9IgjW1GHGNI0DaybM99PZbKgm5cgOqCrbaYRrsmSmG5qI+
W1Bp5MGOSv+hfur5rj8Y17CrtmfraiiXqr/gjTnsxrO/NZJq7i5oHpA1s9MM9WOIlGs2Upfmjn8r
vtsuN5hoVz8t4nb1KK0Ik62jZRLtLHqYCMKdjbggRzDlmt4WkI3Rx/YyGb3ygLyBhTc823nB+WDt
JQdRK2RIjDMb0xl9axNQP2k2KgH4lp5sluPY6ZOoOojnKawnzMPIP2obrJ5iBqJIb+zVbaxX3zHY
pPCK8FVT4fif/a8iNp0NzChl2K3O1mWI7ewTxhQPCxHh1d7cDC29pFFUhsme4qz6M9vI5QWHlHuS
rtvdJsWCay8zEzb42XeztxFYXvFGqhgeQts0jDPQVOUP+Lu62fuxkfWeT6AB4cxqFFeLUz4GWtUR
i4miiS69NvLcVxYvon9O0qZenuaOajNg6oWsrsqO1s1tars+MjQqHytKodCSXEZfmsUqG2+iW/ms
LXoQQ4zSygNEM+GysjZhNQigZ16vxEYls16uofN5n4kdRfe9qd3wMDdJ+VH0aGFbiapoVtZJF2xE
l3ANm0cqA7nXC+4EoWsaZs9MU4cW1nFLMtFxVHDZ5zom7MyvQRwCy8/hTSU4Lja9TZ3cIZCmqHZq
ME6IGd0qs/QhczN+9ibDQr6hA7fJ1wsCKPlOCADoRZtK7Ci5XTxIjzY2nVOAw09Ctt31oEfYhe1E
9g0uMlTpoZX3ySyOvUnWRCamG1NhJQKjjCVQUUDqRbZzBVqJxrk4+NZbZULI0CvQKnJ+zwXUs43m
/XBNiSmbrcgXG2tagr2p1Cctu08z/quEoKYfQ4IKmw5YIW2pJ2dq1K5vesGSQF+Gtop2q8eoxsyU
se7OJ/tbb7pH0uTh3vKD45I0d0bPrw07GSzxc3ifO36Fk9Vt9gmfRFZQ1N22nG33RQcRsSl8G0MW
ZfB6qID1d1awKQsapVFOHbowBvHMgA+cD5/bdS1L9j6swAxMKZxwB5O0zZ7q+WeHBeCJbTYmH6pJ
yGG2j3AKYPhZn9m9vYXuahBsgcZgu9nTqcrSBS7ND6dvxUsn4NKPes5euIixzXD78kQjQ3MY6qw8
cfK2/L7mY4DJ/zKUaXn0h2y4VS5+Lx2ROM/rCbuP7XXXLMVf26Cat6agbH1e6hBqfQ00B4yBRFJ1
RhdrmUKUaDd13GUL/e+Sn0tQFxpffDl9dvIq21mZqsNNN4nu2puKsduXTauevGoZ+/VHOn6a8Ycd
+l7md3gLQZMk9nhF/XR72yel/YESnX1YC9MSxH2xC4o4fAiqLv3CdiS9LLTPKy1goShlkdwqjHas
y3lu38qkYcCJ9WM3di4IaZKuLR3CvbcWKg3/zrf/Gkn/L7RWxFCBPPmPx/Yj4Tr9/a/Rut++6Pfj
P/rFDjDvEe12z858jt+fjn8iclBwbJs1I0fvH8c/QfaIMz9YPesRqyjBZPD78S9AKEPhwY1KM569
/q2/jen/bGz3nf90/NOGwr8LHC9cZoDNXFN+llvbEkoggiL3cbEy0cqw1Cfe9Kre2aXKyi3wngis
ee9b2F1Dp71m9S++cKJXBOKLoFHPfkdu9DBOLJTJMMVTta+tfBwu6lgUz2W52F8dyTx6TOfGOUVt
t1zSLUypgmBubq9bKp+vhizOaeWYuZpvKteZD75P7egFg+p4Gw2m++r2Vn9yO5phdnbfh98Db6nZ
VIwTCPbFIsRNprr3HpUfmlfs5st4J+0qefdK9KudM46M/ZABQ70FBWLMrmVp5O/oBLDXy7zwr4Pa
oS60zpptBL2FWwtU2LZ0LhflP3EvOPb8een6xTQULaQWEshnYdiEX3kq8yNSqkN+G7Hqwp50scNi
5zzx2pDko+D9CROR57WlHutD4ceNta2omsj3wrarD9zJ3lVvLYjYFuANIrSdvJeSO9QO58r00rXk
9wkkjo95mENaZH4hOoZ68+Abz9yauCbwTX/mu2519V31yE177kYfdbbqO0YqXKl0IzvXwMPMhWhY
OmsfukCAfcU7hiaPu02EqZpGFkYMovYebyG09tLe1l2iiaNh0IEL5t8MJbAycludEZetAdzGOn8d
CrtM2R9lt/T3QNWCiYyXl74jqzfPZlLpazCG8WVBpOUBW9QP1545XYdMScyGwpCTmxJESCKHfEhP
2hV9ufdijmBq0FV6F0V+fK/SopDH3A6xBQQqxN4e9afUeG8V98j5gXIEd0vtePegFlLWPWkLOi8z
SQMu2DfUyLg+0NBrn/q6TD8zrbpfCKW05WGGUg6gRyB0XGvqKcw2tILxSLNRrndDPtvW3nhpRj/1
VALvTLJPEZGOcpuEeGM3Q8vOgO1u18eHHqiD2Ix4B0LCDga6H7fY52qUTIaT0gosKlDJbTjH2UGn
0Cozlgy3flhGdyV9B892OHU72PrNuPNLYl+QEOheHzXH68z6nZFl4WZLWLpeJPF8ukTU1qtnchKz
NZ5EZdMYkdjbIKEtOFUkApnzgzf219OVOwZEWbCzsnQf6c5ovO5dpusThkonqtRiteL1u9QZFqA0
s4fNHdrBiw90EcdzyUCUp/wTWldjfZ2s4VIhUwpi2o6asvsoMM6tHel2V7gl2UQYj5WbuKQYbPao
2cJnzyFuiC64eq8HKS6zFMJl68OQpEswcbbOguCPaSjGetVF7AniwDrKWXeQK1k7fyg77a+xQw8G
sq8o6A2pVUkLh7ZH/nfQdUBZxULqHwBT/LVoNISKQTr+PgQc8Voqyhv8jk5muAvqFljzuJORoyCW
orSARg/905gZuc/G0r8OOzEc88Alzih1dgBBQGePA85iHHZ9ieF3jnV3VLbj6s0gveVGuwyCI0iS
tS8KqG2TzfroE2O8iAkoujw3RNh9mqn2gAV2latfwygad06H6yad03CLna26dq1xviK2coOF+ENP
9Xtcyoe+6L85MNtPJqweWwLDe472QzQUp4pn/ijcivCzbqsPbD7lgRmAmbWo5c2aZHwK+SXs4enb
e6qHNLYan+BQJcvPbk3pqYWLZFuH7Xuc5LBBsTbH/Or7PqbddpagHOzhlvElpVe2bRBmtPBOfomj
SHlRuYOuq677Lkg/qQHluXFxhHTFqG8xyjd3cRvPW0sX8y4nGwSbciqWr3g2rO/BuDpD5hbMCEal
J7cWOG2E6a2D5cYFnr0uMjvIqBS7Oy75DTykzSmohfqmSql3oamra2rfeBmVUfbqTsLbp3gx0UXz
uSt3GhYVTRVVAXQCA+WxdH3rYnEqFGJw0UfeLPbBGZfssZwCcWfFxttM42yewEUDSxoMwAo/tS8q
fIkHivEIcEyx/xKRmvYHBcPA5XXwKFlNXvah2+1p7CYTnbvkphJ9G1WKBh3QIkqmJ38RbKSyTH1N
bQZI6ZjUv7LnuP0slOGfu4AIXZYp36eh970AaluDYAmnG99ryhzFCdgtUFejJ4e1vmMPS8dPsRzF
a6914IFmsPVVOfnxNeBGaqsHYy4mXy0PnZPoG4DK1Ljwpt3q3OjdCCl5T1Vc/7R6CopNgetlD6Kl
vqym4M01AhTxnCVXIs2/ThTc7xrj1XtbVOM1qyxMn0q41NHRUk2JinS96YJhtvZ2HE+Yqkq0selS
Q39d6/QgifeUOMs62IZwdbEHdaO5M+Og3qaQvpxNaLK55egcyLWxWXUu06Yif+15nWXdYJjj9Jns
4KuZyizf/1ucwsr9T8WpU/7xBuL5Z0XZ+fVrfh9N12AoSm2wjn2/VW78NpquzZVkJWPGVmom15zp
n7oUf5UspW2jTgmGxj8HU4SuVYJmZKUYMuS//5XB1D1D0n8SlB3hkrmPyW2KCIWM7vO/Dqb+lKW6
ssL4BHwsuSDJUjzynM0MWn59X/SAaOiN+tREGtB0NFXRUxGks3N0nZ61OPco9ws4c5Fgz5z9q94Z
cXYu0ssYLSd1wYrd8HoisirGrz7aT39oUkysO6Jo4t3iW3qPjaoepwXi24qetXH2qmn8bK966l44
hm29kJ0h59k42LhAtghnh4U4pRY2dKqDhRRioPWI4q0L48beZorXNfbgorxcKtPCQA5729ng8isM
ezGts00+r33jOg5n4e94cUfxbpAd/Ww+uP93XgxFvLFm7bIetUb3SYTqYe590Bc5HonvPjDYYb1+
usOxIdzGBZrLcnCaKFT3dhLu7ePQtYhXgxi9cFNbMv5cN8F0bRzTTBuLZfVa7qnax9kR3XeE6XLZ
AjWwTgGgKI9lslU1x8GLumKTlH1jo6FTk8WQVET8YaJ4uMrHBlZuKyumZmL+1PaI/FTGbPP8VviU
nLMlhR3UWX7L5q6bi31QZhIzZDzlb0lIo/02HUp8RUIEzRe3wX1/bKoo/Rgmes1R4Ey3bJsFkBOF
2hGbTWfXMqqUpwGCdHAAgjhZj8tkko8AzNubtcC23UHQLOrbZQaAfmP4kTyJrl2q3ZKF1mtU58V9
ZBYIErReQmWQK6AB5/HCTiF/Ikr0rQLkAPyihBTiW4hvWbJ1a6/ajewphZAD0htYiMmDv+et0OPU
Tgh11cF0Qg9Wl1OJslF20YMzJRQo+7U9HSpIFFHq0C44yOmU+el0Ea7UiiGig0xqv3/IYVvQeJ6E
uxkBlmk4i74bV2XbTqvqxsDQ4GPRnXB/UEZGAcSBMlLnYMsF24fbqOGEnxG0LrqCfYtswfWkaOd4
Z5Yl/OxVKn0rVhbIlC7uBR9WqBqBbN+tsM938QoVAcH73cXp/zmsoi9FYHbE4Ga89vMX0wnnszto
xznNK9OkW1rompjtSChMVqBvehApQ8zITkDQlJQ2KgomVZqlJ525xV21ElhG6Bz2YwnqxfkInaRq
Di6E+Wxb9C3Pgm6lV59Ms/BR7ScbJ7Sx3JX3QajM+pS1pmg3eGCou2DrihDGcO+KbUbl0Ejn9FLf
6LKq6407R8lN2evi3cb4Q/zOstSjH7WSUHXdXrJST26xW6iHLFLOTpdDd9t7itGQp3K61fzM2AaX
cWdv8FQEzxoCebyzOrIH7VLQ8+fqJU2YSwLviyo8pqWyFuM35tvo1YeNFt+4YbF8KeQCPSWyCnEq
WLn2GD6o294LIVa3bmhhqyDQeuPINN0uHLDPGBqG22QIMoJuc33K50GeuHwyYgpuuMVOwEO/V9HI
Z4mwuSd2/7Mn5V8qof9R6fv/wl0P6KMYJ9w/lnqot87qt29/29H+9mW/naiODdvhD3XH+wWFlhp2
213hSJQ1/3GIwnCICGL9FLj6Q93hTHboDInWrqhfY1r/grrDbvhvy52zkw46cwT4AJJwtGa1fkIy
BMvUOmncqoso71O2igzr1Tq2k7VNP01pUV0nNCDuDGfnvV4H/XS1SWl4JPW2Xi8CnQolcVUnPmVd
wD2hSQPuDOnYv5PbKLacnzmIb/XZKTrvogV9R2jFD+09FbPJfl4vIyKZ5E3hAL9x5qGk2y+oPuYS
6l6xlFRyBOWJB/swL0O/T5Pm0V0vPWOcuFSvJhygY3LTBWq+Qoeqrtkfh9u5bMxdkUaQ/Zsq20vG
04u2npITUAL32W3r4MOZJypkY8z1iMb514zXJ5kJ3xuCDdbx/ilGS3iX6/zszQ7Vx3jiTpk06/Ev
G0BspRgP8Fcpf+xdv7zRsQkOOaV7I46POViFcKyDtRawWluPcpOitczBpBCfhGPTEZAkZrr0Fa2d
rK9cyk/ov4OsmFj7JbMRUWK5hJtmXqILLq9k9PFqVW9uR46UaSy9W+KQk9dZ5KMfw2YZBO6ripOb
rpSe8MckInXXKoyLGW6c2yns68cGFfKh8qlm6DI7v3ErTXtShtujYK3jR0evlt1trAh5QLu3V1Sc
Vp8t4XBtsYJEHWrcQ9BkGy/+TGSNYJGtuv3S9dVlkalwj+PFGq6b860bEBc3cJLvGNSgXxlzTGTb
X3OgmI/yfHM36yXeWa/z43qxt893fLFe9zHacPPnaj7dRascUJyVAa7J1b5Y5QLuYN1GrRLChJYA
49FlIY68YNchQsMqOcy1OdJCSC0CYkTezP0hWwWKdJUqgEAl/cbO7Rd5VjIsbk8aiygCB34+FAU0
D4pCZ0LnyCBhGmYP3iqNOKtIEq5ySbQKJyScIAytYkp4llXQV9pVaAkXFys+MFu1NXNjYU3gU+OB
OslpUd9oWQjkMbm2u5Rc75qzntNxku/kKvIEq9wj817fdqsEJFYxKGpzgIhnhYg5swy21SockVNS
bEtWNWkaW7zYKl6G+MDUgeKEosEkFJ6VqLGOERym3pHt0da99aTqbLmjCgRH/tiD/KhnDkCYHDGY
sTC1XkZbxzgDYU/EDqpXn8fyOScUEXEk9/X9tOiBPVa40DKhvJR3RaPj57x1bH0Yg1FRl5pEsTwM
XtLLXcwAG+E385v0MgzFaK7xabFsGiteb/SSduTLI8U3tyE94aJi+skU7d2VJZQ2M1ih+YwYioE5
8MMnkrkPiOVsB660P0KswWC+6nPSSFYf+E+7L7QMOYSkaHG48GYRnZIZ2ElKiNLbuF6RhfSbF2kH
mnKtNPZLHcqHgo/Wgb3hjLIpMkc+aMyf9c4EAx8X6qwlyGWG8LVG6LHLgT5BIAR57UV6vdqPzmvb
mx5cFvNeYicfPqhnx5ur9xZz/daiBHtnJ15NT3bXUHVtr2scvW50iHktH13X6xg5rSPURIAfZYRh
2nn0e3e6oQeRxWOezOk96FB1NZKiVns7mbxxh8puQLaxrr3nmkFXC6aW6MNGxXlw3SpjJ9b79lvh
jfUK+2IpWgJS9/gVjpREBFW0C6vROiyhHD/55z2UXFdS/nk71a+LqjRfd1buur5KGxZZqgvZaY3r
eqs5b7pcy2br1QjFpaTuPbZh8rwZW85bMt8h2aDX1VlUzMTihg4Vvxu23bpgq9ZVW1p4/W20rt+Y
mdVlN01HX9ctegRLuqkwMBdKVZ4qsvFbFpDZC6t559VeF3wBQvaPAIP6Zl7Xf/zROqYucVT+9Law
IaQH66GN/Ue1rg5BZCRYcgIKYtLwelwXjGMo+0N+3jr6QCvY4K3LyGVdSwr2k0ZFJ78mxNBlLuGZ
QPHQ4tGhKmpda8pgtC9QLPINQLfxXsdgH7Tr/IAw1GAQZDdar1tS2SYJRFMKPRoiSENyqjP9yY56
a8Ou4hHXjf1tjGS9Lc7L16rqIvTk/rLh9rGfoBHuIEcsJ4/U48YvKrW1WOW6vvqY1vUuFq+9C4px
g7u633brFthyRrkZ1s1wE5Ls3wTaineKxTFXB+vkr7vkiqUyftLkWOtCxgj/7Jwx7GPJaLBodMV9
AwIt3+p1R13EEw7JkSstuWT/u9uC+WzKA3ZHlzwcKRoqacxyqN3B/wQqtb2WE5zgPE/VBYT4m9pN
eQ2J4IdfzdMuYsu+XUCd3JOgVAX6VTWslvsu2fed5E3F5MFCgelhy4KJbmBeABu+0+uWTTm14uGd
O0/RMy6v/qqBRbMf/SnA3U4h+SSgngIjyuv7wGPf701QYwp4e/dFZsabxOPwyqHWvI0kTHk1yeCq
kV5xTLBdbFtUipeFJjaICOQLD31hv/c1/tnET3ihRs0rdAS5F1E23hR51VMxBI3Hjqr6NTWB9ULX
irkwDXbhDY7a7MGk4I+cLredbYA2BqLIq14aSZT6guqxJTrNvSjfK4LLLyaMwdSVgJIo/8ue/RoQ
yqZM7IX4jmcqWl5IJ6Kut9Eywjs2o9q7U9V6myYK8YvOcF9o0CYNBrIv5+6DoSFQ92HN9EOuOs++
R/RVUoJoh31w8nDXf5HKeO+xS5h+Q/df8tRg5u83Zg7YKLhdxrWzj5l98JWkyVb6KuAqTgpuvmml
eodFMz5ksx9XECIDZH9pRlwrjedX/gFHG2+FPO8CeVFLq31QOhh+kANW3OlnDf0umTJ40m00jo+l
b7iDQYfPSaflGqRtWkcT7rV+Wfb16M5y62Mf/yzh5UUXtgpTovQVFoN8lpcZ5WwXHI3jabSEfhMM
OHwOh+nYKerZmiKpj71HPV2x3PZDeD0EzrXFZLOnfdvfLmndHqg5fO2a+BM3rHzv0jh0EF0f3rP/
TPbGTUi4zSLf2RgUN1QeQQugFIebJD8VADWY/uOVQ7w03KyWOGlPpesRqUyHqf0Csm8i2my5qQBa
SMHTvursZYdZVr4PYQUmsQR7sqdg2T9qfJC7RlmvjUjN5dyl7ksm0vKCJ/SZX1z1UBRO7Z2mGi7n
tvbbF+Mr/Hys915oBaV5rO7tk4AdyHanz0+0shEY6eIMRzG1SBLq46616GOigadCOc794TYfqFdg
atf62JTEBq9xMOLarvAf7IdGNNcJkuoRQ3XMhT1DOg+3IXwVutrsHAU9HvPyRze6KejQCuHoop6E
uTQBvxjsLNDPNzofl++weUJDOi70r9lwfvn3vfO/4wyGbBt4/+zeefkm8+7bX2XcX7/mj0ungzMY
dy/761+zWT/dQUF70MPqeogfpCJ/chiQ2gLaSwbMxvqL2yj6kweC+YBiG0/gg+JxX40J/4qQCzD/
P91BEYrP3yE9Qci6f2tGGRJix4NTjRdlU7rEM92QZTb9GP3eJgwjN3K2wWeiE40/mvUNM/MdSSjS
Jgx3JffPZYtJP/3qUWtSbTuRksZKz28rXnrjg/ApgGVOgdKRBbzX6HdFoQvO7ztvffWBr+Ut2J7f
iKFlkifuhbwLpibz3v315ek29RicZpuHlDft+lTRq8KrNl/fuvL8AnbPL2NBDkhveuIaPo96xAvb
O7+8HTGS/ZnPL/Xh/IKX55d9cH7xN/WcPUeW9Cnk43VVrycEF6LyPTofG6ryR+eqbZz+oh3ymtMm
GcuvM+vlL53V2RMbFWAlt/wqWQSFsJjMFo8SB1AbzADwSTQNJHdFQVRidKDMKRKaBw12GydYUSX1
vhGZd5maih5np23zam/BLcwvBD6xAvEv9h8WpRyotUBB+DkJYXZI7yAaMjrrxEZoiIlt8wOGncV5
yvEYrQcl0ZL+EK6HJ+g0BQSLA/X/s3ceSXIjabfdytsAygC4Q01DR6TWmZzASGYSWjr0jv7xW8K/
sXc82F2dxX4tal6DaqsuYzJDAPBP3HtuoY9WSNJwCs1vBaK+nRFg/VzPeRu8FCE+ZqJG0z0mIOcC
ByoNQNeWXwuYRozy3eFqKMv81psymAaq0BUZB38XgGli/Ek54C2uc6p0iWBCj7joi9B/LPwAbGCr
ODT7S0eXFiS7LPBqfV1v6NIj1s53aFv6CNCVCQ0MVYoALHHr6dJF6CImp5qJLGaWNfVNrAudTJc8
E2SSSzl78inRBZGzCIiypi6TGuqlHsBWZk8SiyKl1OAaxVthxky5AUC26tKwGbBvam/oLsreAMkf
gkng6tFiwuIsLEzPIsPpLDjMa4uORBhZGt2FPSMilpnIDcpNTcJAuDNiiXQxlzLFR9ykLZLGoGW3
F9gkaZ6McoGhjKUNCaR/lkPSWyONRING2cQIEZ5ztFQdnYJqQ/PQzF3+3p9llrVWXAIpEc99z/V4
mXOT5ZscE8rzSH/lr7HMJBTwCwPJkVBbKHiRVwzXM7OUL7U5wI9UFiv1vev4iGzqzGEdM9jSoYxg
QPwE97m+LUDo1puYxFrOD66ece87Tf/RLDgwGaa7vfPdX+b+ESVJVAAJmRysdC1jIcCETULzMXXz
fiAfVR3w2JggHqAhaHVGZb4gTBr8VQUrdxVSzUDqTubkYcCx9qZGQGLbMsAFuHF4Onyb8Kfdwc4p
rxLptw/CkN5LkiGK2WQ1aLpqXjBUtWGLo5maz9m4JJZyAy5+cksakPqOmzFUjzLxakz4tUeY4exM
kA/wPKt+RzpUMb+oANjOtvJDz1+nQHjGvROU0Ns6FJQAR1rh3xfIBI2DUboAXOZmasCEEi+1cIE7
k9jAXJflngJ+IsogsYWxRpDcZ0cuVjgjASm7+cZMZVzDHDBHd+WZdaCp+XMv7sMKAdB2QTn2ZbTN
EQ+Fgzqb/FwKWRhK8/SapJ2xbmD5gy8KJuIYep9wi41ZL+FHOHTht7RlfrQiopJnaY0J/jJhWY6Q
1+lbeqEmpnGESB12awbfNdatOFuozsa07/YM5yJrXYWmNW9SVJjGRUd4KW45lsAvczvSoQUjHiTi
doF7kOftv+aLqSl9mfSvSWhGx0u4ZVcxGagReOaz95G57LZXFJdpu2vilKxRADGE75ZjchFM9rBx
Zst4NQ01PcVOHI4XhIjgQUyIsYu57Wf2BhmxjOG1HPPcXCfCBZ89WWP7JoeGLJExEEoBO3ehlxgp
acU1DgrQLSVuyR2g7pwNTD3zVfgGY6RiRSFGNYrYuJI3/UJ1tOnG2SYdIZbovWFDDy7sJ5ZfOHbt
JlxRiIGLGKR0JbVmkBcTuSFBGhxA1ZWbzK9HduRVMcSX/Vxzd9GfpsF3HlTVe4ota0Sd1UBpfYjL
bs5fhy7PGhb4rDyu3SkpQ8yrYrIuVVNSzTGPLAKultGPj4j3zepAfpeaDxLd7sgIzwLBOQyx+O6T
YkcqjKg5k1Krdo+oPeRalmkA0aZ/cctpWTvtNG69IU6Z01Z7KQkXDikduXaYpeTI+tZL0DLHGMqv
QzHfjN1scYYjYSOV13/hNR8D6tEVpIgtDc54GLAUbFBs9G+IdJDdjTPxIysBawAFT5vRTjSJM7KG
lI3j7axU5OkqUl5O7Abi2auZn7rjKkgvRsk0Yz1JYpQhml7VSIM3SaXHtmGsu3Q7a3y8cONdzX4K
J+/c+reoNezN0JbVlfRC/8C3+3UOGVXZS+oUzIB1JqyRkoWWmO1rNFSbyHPm41KJE64fYyXt1mXE
lNPOptlIb2bJZSMg2G+mcEm/pWnbfGOUR+WQlGnymjPq4BRofR+KIWOsMFYenhxFAA6QDMilxKkl
rx2EyY2YopNfBO22j3LvrceLgUavnLnm8h7yizSSlznB5Ld1C2hdOyfiEcDidnl0cSdhK5+YTSIM
swD7tYl6RHE2PSMGmqBnGEb8wvDZfBhL86boYkyKo6jpmL3y0ZqVfADNkVu7DNj5rYqMZD/TRNCa
p83XJBgYvpLKdcpd47FiW/rkpVXxwUgUrV0B6uOmKut6w2qh2FSTwULOcdjfcYvRPHBPr8UQeDvf
9b53fi7o8YSzxkbA/sBLKpebaeKrOln1kN6RDxWsLRauz9DLmAQyeI4gjPiT7x4oboiuI/omYf1V
K91W9oblWDtYVsNtJydzH5gJPZrqENubjUZ/4ZE4jX0pXsM4lPehE4xXk4HUMWnSdCNTm4BXEY7l
RDJ3617l1mLxxDX8XS04ztO0MGqKTh6rvtf022JI+03tdDZT9cUBCR3RzPLZMWQE8vogpIO9vcjZ
fYIVUtPeIikF8MtA8FIE5TJEdBqEu1mM6EoZH60k75HF+9hvylxlpyD1zBMnRbUKotK+SmtCkACR
iOs5GOZ9I3sykpnu70LbgRWU+BruGJa3WWiBSnWAPOEc9etj6vnipQRvBI+ecDyaNbG2F1EfUWpU
yOpEswsC/zqJGziepGfi4U7IZ51ngnQcZPBPnZc8NW6QXFSLJbSPlGl4WrzhJ1TrsmQ6bJfsEYJp
aI95G65JYJP7oEAFN0zXoBysD4Dk6ZaBR3nMWtPaCJD+e1AXzKGm4C6qsuRIbTKt+0TUBzRVBjtW
aC7sArLjQDmWMkyjQCgM52sPiXKtIE7uzMjLOPnTu4mn8H1QxmD8jaZno2JdEGtT78PEaa6Dquzw
BDpOdORBEIHSD8TWk214k7D1f+adwagEeUIkU3GOZyqM0saPqLObJr8ZP8K2cTVG1/A27OHVvKXE
UmozUnZZ1MS+nd7SY0f3Iwc9laxDIjTfNDgW3yGMXCdMFZnqUkCBaXsX5/gFVzaJvP3G5qP4GKXr
3g2MLGJlcdaE07ZWpr0WingSR084WjgFX9GEDoclb6KrQQKKXc6DEY+4wAzWSs52uupk/twbpLCv
UZTDCZTjbK4CKnm1/6sP/2/6cPglunH91/vf66/z1zbpPsup/vYzv/fh4jf4IyThcpaz7/XYtf6+
C3YJpiMcl2E9+eO+8w8upy1+MwWJb5rRInz+zD8EVbapm3cWHbTuli8d78+04RgGPttzLUfiMUTL
Ba7TQ6B6pq58WgTXYVMyP5bVaRCdPA50SpdtZBc/jSJ/cAV/dgHzPn79LZIphA4gsAnP057nz+vm
Fs3TsJhBe6JIKK/yzls2A63MYRLwsGaTasZwlLxzR9SYmg1w/PSN/H9o//Y/rbslFmSMFp4PWJzv
Qb++T+8SbVWdurVqTktfORvky846hidz1cUsUB3HO2Qu9HEj6pZNhuH9zu0pwVvi+PZMELgjizm7
jLpmuKpdmXKDls3aUCODQoI4V4VS7WuXyGAv0tHbNha9WJ9YMzRLmvqdYTHcRdHbQ10Ekp/tWixz
63//Bv/JrcHXyCViOi7wHiSrNrbQz28wwGyVMEatT47XtmvO3+CNY/ChNcqYLLCivJ6WmbmKZ8f9
niE5VYaFvS8Oa/dpBEO69XzDP+SOqDa5oewte2+5i0HfrbFX26f/8GL1i/ms4OPFci3wPwLaEDlR
+pr89G3QEoig9L3yJAGogqtDjKta4lmtwfpCk3BCb9ZvzNGeQGlgrXgi0SnbkEpa3P/7F6Kvuj++
Do/r30FWgWkGbMYvAyi5VEVLLE1yYhJjnCavFOvEXZA1BGmz6xNS6/7977MlN+0vv9G34N+SkMIA
7Z+TMHIHhRc9dXRq3F49OinSWZwbI1kQiSOMfTTOyyOSn3zd+GFakUBLVbj1CZN5aQyHws/RNWCn
q0E7Xbw3T1eIXpycUFgtYHyoHhtbsQSXTM/lmraagW4mvVUcxsGGKp3y03X49s3c1EWprk8DK8m+
2bpmZSJI4dlRqFjnklbo6nbRde5MwWu4VL6Rgj+va+FaV8W2ro/ZkVEqT7pqTimfha6je11Rmz7+
hkFX2dW54F4ovVncU4QHuh6Pz6V5pat0SbkO4EjRDukSvtfV/KTr+lhX+Bqf5N5NaDxToHiT6+0a
urppFYUR40H5s1EwnSFbBR14ow248+GN1nQ+TZYb7Qyw8atwxsLck7RAr6UbknRoVqnbINVo0+cK
WyXsxbni8TcV+9InBYNZw0jgH/2OkXhbB7w4TJxgM+t+iCG7e7QBnVpUhFFnrxdzFN9Hc6C8wn3s
HkXrpVjuzj1Wc+63inPvpc59mG9JejKLTYN16XqkcK3mc99WoY6rt6DoUKqZZWWJH6KqQF2t0ohg
vU2UaOxGN9tJ/z6dcRyzJnNgXQDSEZyBHeEZ3uG25Oiq9UKYkH815+5sfQnOuI/0J/vDOoNAjGKo
He5ub5nWE9kRWxwND2DcB6BZWITc9ViyP9xCbfWTUxRE6rHLiN1dgQ+iGI/KiWKNVQVRiVh/u48Z
1xdzQtVeuCm769WEqf0VIgV4UpokNkKT+ogtGkbPx3m19SZDPdFhhG9xKct2k09mj8RdpsPaI5ml
Ok02zLk9Glj3tURjMuxUoZknwlZPjd7BD4XnkVuglH4ZApcl/ObYmfC8hvrZTlTYcGNnFdnhfpTm
ILu8WeC7TGO2ch7TkGMW+VWgZSr0KD2+lYulF+0Fi7bWRIuZoXNwk3JjQcXbmdjwX+A69KsK291K
eA0KJt+zboOkw57jOeVphsBziIutiELrcamW6riozrA3NaZwuElhnF35NrcDfJ4b8uZ+kDVlolsM
g2PoML8L4BZu42xgqte649HL62EnkGTcLL4z3cCXdS/HYmggVKrvdd6iCOzq8SodMQiX7TboyMnW
0pojMgMX3xObRLOGVLQEE61072fJxYQD5TD1tnggDdu9yMfwUgaVdbTl+BznMsdWxewXwa64Zpke
PQzlbF7FxN99KazROqmy9PccPGhXk6UkE3vW6bc2uWCx3limY4MsS43eq5v28Ufb9bA3gVzCbMU1
fhgTTc5VbtZj+LUxJJ0fq39FRv0HF6pemiAG/HQG/RP07+p//2dK/rgk+v2n/q7293/Dngm6T8rA
pj77XJ3Cj2GtLzyLzEH+xKfqFKWiCfaB/CiijtEPfsJQ+L8JZBjSxFRA5JOD9PBPKBVti2L7D0em
i6bBIgUaHgbyIMfXpd2nYqEyqpDk3pI2DnDSm3aGPNvatVeZaU2SCk6+kRuOh0ATsrwGRHkzzr66
m7T7r22jar4zBvEVeVx/sKbguekm7ZG3myznWYSLcNF+QvtsLTRKD723MGgbD+w/6pH+tpqyNTUj
tkTbyBKSdEP3R6Zdi672L07ayZgaon50tLsxOhsdU4XnMest8z09GyHrsynSR+meb0iLD2fyL+os
2/QOuUandszNmMFFWr7lblq9Gg3eALjNTbUgIs4TiTbAm5OTAeHpC1BC632Ywwlb/kw21sYO/Yid
mKiKu1EN3rohT/5dMbbbK+Tw8YpNdnkTE0FCy+yGwWUwjuqBKGX1FBh+esxrKa/GsCjmTTZLgiVi
DH8kvTqht6t6wVaLHtUtTzmwD+RwjIfUGg8cITyqKPA6IkWSO1gO4RsfY/hOcFymjuRCjz/M2FKI
DrI5v8vQVbPIrheOutz25nKbTH3+ABkIUp0ywuk2CW0eEEkdXRjuYD/LpO/Ni8RHQ7iyaZpHHRgS
nIyoQWhPueM9poms35citO6yOU4fQmlPNiCynktAQTHcVtZoPhNF0gwbP65UhZJGZIzqjMTSGjmU
0t5ZNI3GnAlSetZSa1W1ofXVvlZaszudHm2tvna1Dhv1aTjteJ3+KijgpG+zs2jbT3CnGi2M3bXQ
qm5mXnQVYNCYYGvVN9NiBOCQDgB2LwviHNctGUZ4ybh8gZik+A+jkI8TNZmecLaM0uuyna4nQIfp
qnRSdZ1oFbqt9ejukoTXpmfUp7FJ84NdmsW92ZcMU1XmAjTrUnGNQAegoK3V7slZ+C7PInjubq56
LWw01h0FH4Pws2i+iiVStZpnMpLCs7AeIwgi++wsuBdn8b1/FuILwpv3OUhw90LU9tQdKljhMK7p
Uct70hnSBiqITYmWntV81lnZ551VfqIRKSD6NEH9lwVEra2IWOrHy4T6Jjo5dYRaMCSEO9dXMyrC
1IEwuGanspDyQLTXI1HlBTkwWn0YKIfsG0RT1S2FbONvZhU3T1nImTZp+WKvhYyl6b+w+UTbGJGB
BdI9th10kFr9mGshpIpj48EquqzZpwHO7H2lTby87uxq0MbesOkXYwtRLm43rrb+NmcXcH12BDN/
xB2cnp3Cf51j/82IRQcM89T/1yOWx6/F1z5Pfok//NuP/f0Y836zJNp4BHAB3sPApNn7fcpiEoJo
mrrNM8+Gtn8o7r3fMFTYzFnwp+njj9PlbzwFhBC2yV9FqwaLgfPnT2UV/zoAgcbES5CwmTjhPN/9
pdX0ut50GxjNR1/lzboQBdTBRq+PpEEUfaXi27J3ssc2i8IdmNJh++nzuv3Z036ev1j67//c6urf
75qCnhtBgO/IX07RAA+bV8ANOOLKPDhTl68Em71rIuGfvEJ+y8byjsi9jvYjHLagVbvVv38Bvw5g
+P3gg+0zb84VuAD/eIoPC6S0zGIL0ETjtdkjYPSjmyINM1AIwbUw2BsGtfg5s/yXU6ezFfCXd22T
PcmgIUC54v1qFfRoqlPbwEU1ZzHsm5GqtVENJm1BWlHdagyd5X1E/IHBEMuK5QQj7SpipONbH3ZC
4KxRL+9pbABzHNPpP30m2gXyh28F8AfXhEOtRMFkE+X8x0+Fh49tTGNBfnWOmreVXfZoEA7obXy1
lLBn25ihDTynmTPFp/gefKgcO6x5GYaCyV7mV3exkbVimh3LXVclhtwFSa3qiyTJaiS4sqVhiqza
qW+boTBYT5hewrKgGvwLu6Z/YdZud84bsoc2++DmsqgemgqDBenU7Wz31FVTX9ar0oyDeoPrwPxW
AaB/Yp9n3EpzQgMQ93BEO9vOMQjMk0Zv1cu6GCKSNd2iJonEMXD3tu1iHZqy7iUphVOo44eld/RE
SusiKvbdbiJhfJiNiQbYQQ0BIzjJTpPy23cHAtlzKTNzS02GbgQBCpYMz63xcyZDi9RxuZ5KaDrW
pLKZCYe5p2QcvtRoiSESZc5O4MVjwWJhORsIcLlmN4rTcYmEeiHtIb8ZYASinnbiH+yurWTrjLGx
J4FOkozSjSmJB8ToGn3JGGBUF8JV6tptWjo7hXilwytwMsOLvKyepV91B2KyMIopwBMsGHZRxwrf
JZNceYs8QPzfkcYwri2utrWCvX4LIN1FGTjk5T5e+NiaIY2PrYm2vneS4IG55XxEg8TIoy96Ne4Y
vZgbcjDMp0I56k3kcfDFYpnCMpZUSaYgTX1CwI8Ppp/b4Z5BkXXb5Jm9NWOcBKSD3iBkPcmewMLQ
6BewRpax6RvFstpv5q9j671VBbu1Nd70nReLK98l7nftEOKxJzN9QSJah98ss2pPdpbOl6JgoWUF
PuURWWyU0HI9OGO0nS1zvGhSPHUE8HjIDLpm5bdV8BapZZuzfES25r1L2OEnVI0m84Nq3nY2F2I8
E8S59O1tiJp7PfYx5oPIPbqlLfZNC9qKAGxvHc1usDU7D64MmLL7SuBSZBlrb5FnAx0TfdMfaJ2r
DYogrehGK5HhcQH9GLXOUw/D4INA8/bKJHTyPkm9peLSbOzvbQmtsvZ6Yi+sQCFJMdWPxnexzeBY
fRk7OCBr6UJE8PgOXivgre/lUA+Ps+fJby5aEwLuckY9ULLk9G7orbutJIrxEG3MBfls4tW3xzhY
TTmiFWZzyEQ7y3C3w9BXj9aiNTLSa1/zpjfuzdm1X4D06mDodOANxUbCdqgPaot8dq8DexsjKsuv
7Upmy2FeiJcCkgw8YGjlJTkF+O3HVlwstYxu3cr0yXybi8uBGTl7dIItuIdgo+0nbvv1MKfjVW8R
Cc1Vok4WVx92BHAUqvpQC5Zetyzy/Uwexm4Q7pVTEuMSQBLDYNM1eySoDB7cIFw1qmppQFR+TR3+
Bb/UbTBMOkICwjJJAU/GqF5IPUCHECJDcosDawcIIaFglubWLtKalqXoaPCorqK5v2qk/47b175M
R/IfRkS3R9zA93KYbpE83cQZYBZmJvW27/LyUKssPTplUzBUzdWwckb/Ctn+nRGHl57w7N2kOkRb
Ueyu+BDFLqb3ulOs9Q4sAZ6TTr4ucTsRERj2u1qHrQyeaPeLmV7NPMO8qD+YyPRQtcF7AIlwcJWx
byNvn0zuG0nbN2FvcpaMibUpZwchSpTey65CkkEm+DFfens3FuD6WC/wIZDZVLbfSHZ7cmJEyBAy
hhWBJ1h0m/bruJg/tGpflaPgTLBfiyJ5njqdgMP1B8AhVxeOGd652eJvhYunyTaXmyrr+m3UAWme
MoWaGQXKNjCb5khQS6Q/ost6rL1jwOLyqyhIEMrR620G9uIXZmuIq8Yz+tvEiwRQtAZReitagsTj
emObKPPNpKvX0TAggBoLtOOz44SbuM3lZc34NCEs0awPEPiHo290TKe5DGcalPTL0KbOZl6WGWvO
0r6hGhYEiTTZvqpce0vj1UEL9Op3N0qD/aBo09d2OHBF2K59xECOGy7AsNawwd4K8tx5XofjrkQ6
lsTjsx3Sw/Iv3U6TGa+EZHpf9nGOXN3+MrpYxWTGYrqfeKZB/f4wJ57o2IrEMbENBFWD23OidO0J
l5K3FlgMQHvU5KN2hrvxAH+MIPXdJwPbxDf2N/m+XQj16qIh2Sg44kcCxOo7+lr8OUQoHEdPKzQX
+0sAmMiCu3hZSz63eCGmZeRQx1PUrAkyLnlssbEdpFMcDSJId0kJHbxtzFe390nZypB6vDGJrS9d
q4FOa85skaapDHc5etEtA1jjgEOquJZJZ9yFRsDqyVwQWy1qusz7cPpwjH54ikdeQeHVSp/JWJG4
e3YW3P5TUPcfi4zFJTDqDEEW14VTLhdmSBYp6lq1wgiIMjNaoi0XI1q9CulfE3Q1u4mgY0xh1weK
aMJZAzo70pws8JduR7gv4jo4LuU07GzilvDtzbCkUAT6EP4IRl5VtmjgG2TqlsskSjeqxugVx6Hz
nFn27Oz4vyIl/hrufJIWqtzIFvf49TDOEDrdyDPvCf00COeUdXstemUxx6B4VotVrPEqEeLj+CVG
sxoXWpnX3jXVTEtedNo0THwJ5HxIRJOdHMJaiH6xX1s7S/b0di+hEeLWwlnl3duxFHcLDHXiQJPk
2SrGeR9V3qXZttNJzUb3Ui6BT5JYQEYmrJv+NEXd+ILgOsTub2BMcJiFruLa8++nLpswr8f2XYmE
55bBGtDNIiWzbI4G+6XJg/6+Bj60A+7GB7tM5mmO6KeHsrnrJ4CNGDjWCHV+jBztu24ZspOygvSV
oVa2HhDgIZhMqrfQLt/bFooYkatqga1k9Zt+GuwN1e98H7nIpp8bxE7BqRCOx22PEPd+hFNHYAPB
ze4ebSREs3Bcuns8NIH9EdmELODg8B9q1mRq4zWVX+3ZKM8fvp9zhppudbdYg8GRE3qv+YAgY2yN
S5qQYGe0olshg+XJHdpHkIjzHm4rl/AMuSiJmAunS+ts0gz5RFV16SMhwAGWyUkeDREaTziFZu4J
Z7jIzPYy4Mqn5kpYveI6LHbS5JaIndl/i5yisldyWIL7ooh9Th8MvIA9Jq6xurHue4+Y4ONs9fI2
nubwJp4IEr6Yo9m+jGrHRWgEbITMnCDg2IbJSWQrKvL0jRiGgb8mbcgtpmtqT4aPhzAUSbRJI3Nc
pw6XoJ8F9ZUb1rAjpsMSkS1WSIL+WMmGcCEqitM6T7/RGYZbox6M/iYP2YtuhZkO9bUnsfXcc7sE
zqGEFbJDoRx65Rprx+Q8uFlXkXdts09y0bx9JU0B7icLhcJZic5ILUAh1RRl2KfYnR3iYYEH1JQV
6itxCrlutnh9+5dWmN+DobiL4s45BQwc9yOpmMjK8qNlmDBOghA6x5SeRiNj/1D07wREuiijaQTp
rNAJLfljAdL04KWli1FZutYBUm12nWYWOtImdW+r0bcOVjl2B7xzvK5gsUJzP09hEZEzlRvOpveg
ViLwBSBKrLt5NVsegsTFymwGfCYkMOQ57D+xJQRryNfWCRerk26TMpia1WIg2Sz9AcsUacrFIfMV
bKZ5ObEiAZ2FivrNKkghYOaJ4l3sW99T3T5hUhjeOLFfrUVvEcKWZdG1QCFEBmfU2y7AML+YVmUy
SuMdikx3E7nmnO4a1+96XN8YDoolADBXhUEwv9txLgjak4HCyTUxujy0hQrffSdHoM+Vq+yHiSAy
TflndnYXdujTV2qZ5uQmdsukvkYmoMAqCTv1GAtSYB3BCvZfzF7lX6qx7rlCCIWa19A9Bu916vzp
fcmIDtxahAXEW9s32pqUc7P+EhZV+d2E8yrQ+8TDfLQagfqg9JFXvpROyJELRmsYvA20KcNdmzg3
qV4atuyHpMUtuwPv4oZrpOWKVGGpXO+Cvh9k7DCmHHyJ4ScCmX09ea8kbCYdicBdx2M4H6W/Ateo
XZKSo2DdGpMDmz2qJ5IMYr3IAw/bbvzFmojKcY9e233hWhBoXkWEA6pfkVBG/YPMCdkHIqu09QVj
5SXDfiXLKyI9glWDDQrORsdu2YuW4oHPRqxj26iv2lmku0QhDvPQtX/rcetvCBqFv8fE+TnJ5mI7
8BcSImbJa68wrFPXBfMl2pd4b5IwtyLGj21/QFKFnTQ+D4UByzLhzxm35nMhM2PtIYnYp32KhxQF
B2mtxM6Z3TzdLlnU36RdUhyX0R0g3/jjE0y9+g4Qz/CDrzjGV7qkPoy6wjumbTp9RdnH3SaJKUNw
z8W1L9kuXrd+Rzc0lsty5/BSnoVfDcGh6Mh5OA9e/lqO/eflGHjUf78cq9oPRmuflVssx37+1N+n
iv5vLnMrJFgO4hr21ey5/jZVBIXl0NTavt6Qoc+y/rEdswLmjfxnMFkWCE2mkb9PFfFQsS0De2Oa
goEPurA/sx37mZ7wecLlothCtYMjSwRMkCze8OftmLIVxxA02ENp2Yzjwx7VNOM9eSxqMd+HnT19
JG7o7duYGrUoueqIi+/bK8H5wFLZ6usdhezCE8EeZoLnIbwj8JXqAtLVcAuATz0wIrBWEDABXkbe
8mO05ueMgN4OLS6hUGiWpboTjVkQpNNJKHhLvvd9VP8cy3jPySaoV2xiYiACuY8eVifnhX2L5wR+
Q7EPHQoqAoEac8CzHqEFkJyIb/QsEVLZOHvEFDDRPi7dzpbGBHV6SPKHWrrgZF01L0920xWXo9nU
1xYkrZsIVOEdzgdvX0eD8xDoJs6JM3HByqlBReKTAjHwfNLgu3kDe1ddgHg2ug1tTTzvg2RuV17T
Ifq3LVTtaT5n7yqzHIC3QUsYUIr1AxxzbpevXZd+j+bRu8V/vMS7fgKquI7spRXQurs02yRz6r5G
bkMhOdjyFE71wLYyosVd0e7oQUpiyrvUJdNz4f3+IBx3IJLaiHYdht99qTmrBpZd5L2avqqqRiKt
ifrbRqjlyi/y6sswMKLAQ0IG1p75Un5s856o0JQFYT2REAvbm7hGbGrQrkw2eMHyIazqe2/psNTY
sU6DS9hM1zKIDYoEKwVHzg6y9gRf3vpRh/1r7NNbVpMcvluVIa8bjZNNMjlD5cVqU5pVth0CYLN/
Pbb+m13I+Tb+NFr/p43+df8xVP/n8uN//+8fMmH+9nP/eGzpaJcAzbZjiZ/Ppt+XIdZvJLrzSGAR
8XOt8Tt+yPsNIoDJ0FmaqCUdPS7/+zJE8ENYQhEBeA71ufxTDD9SKX4ZfFtoTrGWOgTN8M957fKH
x1ZmEJeQDBb4vrCuCEk25kYTgEh2kkiYm5UL2tJDF66rpZzY0Pq6PVdRPekBWF/O1RUBvlRaNX+P
/ZBVzLRXLGbD94wl+XxAadcHW+5J6rXRMKPlPT/XcZ0u6dpzdRefK71KF33Vuf5rCvT/zDs66Fnk
4lEjtkOYR9eptPf4+WtsALqaLNuF6L78XGVOSZtTcsKUXt48XYiaVKTKHOUq4+l2WNxUMgegld9Q
ZvC+4kQR1Rvq4taJF1JuAI+Zj3D+QT503pDb6xm9/hEJqXklz5Vyp4vm6Fw/L+da2gEXRBVxrrHr
UHSHWhfe4dy7twa9BwyDLruedYHOx0GtXniTOlCaPCJM50PWJX3bMm0UwfhOp0PonO2kJ3gca1O3
AqgLcfSP/trXbQKSWOfk0zk0dBCRbiUKIXgepM4JbxF+GN1wYE1omwNzrCS7Zm5d6qbERZ/u4Mow
iAobTfdrpVsY79zNRLggmfEpJ81KID2Fr67Z/iXtyf/ZChU9sGHPNooIp+oYAc2t7SU4QmaR+6bP
h28WZTjM+5DBmD/Xm8AnpRCzYHvVAsJfeYMc10liGuvF11Fm/uCeFGcgKaWDXY44LHjgrrpze6cq
TBuEpOq2L+zDYiHzuA7eGnItL5Nzi5jobjGnOQkOQSzDh4ZmkrUHvr1zg1mem81oMIJ7uXi0oJYf
BW+jRHfl6g51kibC/5lC9TWDhdSQPXKRecu8w66nu1v6XKw44VoycTrwC2EgLZ29ynRT7NPS7aCn
Zldpa36LlpnEFN1Ft4Zx4RnMk5GbB7uJVhub2LDq2jpl+JQuBRY6WnI1WfMHcXwRP5by6Z9y3cPH
upuH0znIHd7/3L+xgiypbrJz7z+d5wCjHgngzGE60BR9FAKsmoKFDI4wmjZN4De3bC6tQ+86+amX
WfjuBVV1q2t+DFTmlL8buaC7jIYo90Pt5PLjdZPyi/vVUNcBpOpBtPaXKh/NhL1DVLy30Pe6Ry53
iwEqphVCzAqcsV1EelmGqDA/LVjFH5LYTJ+HiPSXlQod86JZUEBUwqotnNnKmukUkgnH05BndyEU
vooPwjYZZudqviFMvCZ+PPx/7J1ZctxImq23UhtAGuCAY3iNORicKVIkX2AURWGeHIMD2FOv4m7s
fgiluiXdqqxbL2XdZm1p+ZJKKoIxuP/DOd8pr52M5uUa+3OE8WbQ1WM4eT0DKrMfox3eEx/+Ee04
kji4I1t2aw5vmWOTiEje7snUUfBaNXlrfA26qQgVMlo37loWS4XXEKjO3GcdgPujfaVyzHdWMZnV
Fph0htFl7rDQzICi12xYZrELBqYP4Hyb/MjEsrqJIcbnd5U1splljF4YyJG8vkOZqnjDW3/Gn2nr
iXGwR/TTepxt/TksArKXXb5yJ7dW8ogiAxdPHkEdAtsDZ3DbCyaIuKHyce+KiAQQZER72s+WFUJs
k0wlI1gvRPmIXZ6V1iZO+fgZLUsVq2esOunSO0CxCmqSK6vsKKxs2hgDrTRGFzcDMGTPezuz4f50
rS9XsW7r9TBO9YEJnfVZMdfZFVWnr/gKmEDs3f5o10X9FAkmsRudxEpfMGmeH2jAh4B6bNLdKbft
YZVOTYrnxun97ja0zAGuseHV8rqK8vjRkCZwJWElQ7YuW1xgq8xKh5Pv+8wfld8q8Y4fFYb0xjQ0
DmJ8tDHQ1toqjeIoqlRstMJOFY5ktV7kfWkM+5qRzE1v2smLXSfNs8mcZfoU2Ll3FwwpSplKt/mH
NbOwXFfSK4gHkraFfayMM+w5MTO+lR1hTf6+vv+3NXH/DbmK1BjeX4o+bt7Gt/e3n5uzP3/kR42D
q8YGIsbM37PxzyzSjR+tGZJG04VixLf73LSxV/+TU0z/hUZEQhCVngzYXfEcfgRowMSQLkoBdKz0
c/zzr7Rm2C9+q3FI4LBhaGD7WTo973fJxRiPOMpKDwatPdk7jVvwOHdJTRwknPUv2TB70Som9e1l
5ozFkZ0Z6sG1hLFjuFzcqrpS76QeaNaGhWdfNH6fXCfe0ls0QX6Z9TE5R1PlIBuOk12BrcMb1apW
LONUmhRYUUzxRU95cek5iBg2Rm9Z0QHojncQiVF8tMjJQ1y/OcT5ARnxisgTy9h7GNsACSpoVpvY
wJizDZvI2lbslP2VsMzipXSNwNrkZed/WqpPnNLsvnyW5YV8m0j5ubFLb9hywUfXEBrEosYUgOej
hq8GWH2wQynxPz2VqM0OAIvCVnQxsKSwQop+yaSuAPPvNPNR4/po3xJ88HBmJhz7a2kU87TvB+V5
+74z7Wk31WN011ngIpag1Z45rgqEzUY7bLCdp1Vy401koTe23RODgBXTWvIj3GlH9IV9xQ59eqUH
C4eV3wXWyfSRxHTmpC+Ux4o6HLV1JQu/01tH+XrdtBP2B9mkw3NTLscNoacpDFc11rtCFFa7c2QN
CIJkqYmRvJ1le1FxQ+wl2yD/OPO3owrshMdqMQmro235KZg/VBcw+6O4ccsjT9MW2yie5IRIBYjA
3vZi91MHqTjEktnnX6K6t4KTyFNnI7O+OvaE6B40yputWF7dSbfh/URCvLmSszVB8rFVti9w8Wyc
dtD3zuSW74M1Fgc5mCmT7NhrjvbQgmQylGM3KPtlCrRCd8FjaoSsdIgQRXthsYCYw3EDal4BrCzE
GmgZ8tCILFKa/IqJZ0R8F26EDjtEaHFme+nGsMLkxgWQefAtyIiUg41rbsrWZV5vsH+2m3Z8UXiQ
3YM9u8EHls9lntjrDBi0rGdWQxCxH1uGliFAUjSMm66DQfXAXoVdstASMiYQEtGseMcJYoh0U+Cn
aEnpwJHPjECDkTOS3L2qwaQ9lK0jTRSiOr+uJx5xhTmifWe8aq8gRHfeFU5nDGlVNTI3oCAI0+uK
0R17i5wq1AuA3rFHZ0Fq1tR3fqTJLmMMWjcTe5qBpYFWoiEf17tIowSyIJ62PcNNf8S5WpcPCGC9
o5Xn1TGYEwSXft4eZ1WO97XZElQllA2cL6w/vLKwn1LJBqaoQd0Znl2xxQgQo9SZ9xRl7ceA2W0F
HHvMoKEAP5NGNV5kM/g6ghGyDSzyx4BxLUuffthhjc4ubJ2+jNRE+2TC3GBX85VdkE3WFeIeSOeM
dqMd9my5iONRxfyCKf0GsYCaUQzp7UCvs+pRO0SEUbpXXlHiK1KMmgqvlDh37Vjg4SoRap+ybsyO
bqiMT3Pku49z4mTXfpAJouSYeope1A9R21jJlfb4bMABV8YqcJOIieg4fxHACK81sum7zEVHwdNr
0qeIVAR/jTSO7E+QQe57QILIS96jeJFd6e3qejm+EjXwRUPAgLQ1f+GkXekmqL8KoAjr0SpttZ78
OD0q1uSvKR/O00TdjQzFvrAmRThvGUbBtYhZShN72N0ahulb5H4hkilIbrj0OvEe183XOcn7C+hx
GOL9eukCyst67Jrdsq6vZ+gJBPoWl7kTDl8AjpQ3VDTupRxzXPCkEyebuJ9wYldIB6KO8LpZMTNe
TUJEX+hBWTWnFaki7CNsewmR8ckAjXvjpR7G6NbCmH0gnie65AMc7m2zj5219PoAw7ibji1bJ5QI
btRy7nsDexsuC/AnyR5vE7S62UjLD0+UyYtV9dJeuEQIs9D4NMskPa993lsRHEYQSXdzP6Wv2nJT
NjNxlX2u6zL6GOFRgKIpp/apqcxk4oIogk2QmLzCChn/rW+nrmCFlOgviMvYr7ttsODsPZXslswo
AgzLkJ5yLMUrJZlPS9H0zKhgQKUrreO22dQx88FtlMohRAODeK1u7Y2mKJ5IUxfWnju1fRvdyj3k
te7uTYVqcsNGoqT4j3lpkA2T/7xBdy+Dw5R0dNgWOLrPXUpc/WowPOw9XSdS6CXM82ADdj3stLJa
o2liP6sG4QGBq/3lQym8B8LGI0AhjuSLM0b9C5IGg2MetcP14FeN2isHSobKapIpxswpb71eGmqJ
OioIivXjk8xN+5KEJGRi4pw5JS0n+IJceSSJyvH0c4gO/X4ylqSq/Jxa5ZwTrOaOMCvhMNtkekeP
7xdJ+0oLOFzb5wSsQkCr1dOSi9WdM7JaV6SnpM+y5lKdU7S8JVBL27F1wH5vLDKmzHwtl+it8pzC
5YLCBK6LV549KqHVEB+iuSw+FecEr7Fx5UsehN1liESGTTVQlmmVgRbIYGiV4aVZL8NY5cBfOfA0
ip1shjHdueDmX3gllsBdgEtfETykj6RIlceceLwI7vEURGI7G5OR3TaINlJuqDx8snOq+G1uJMYu
nCfvZZrgT2+wy7Lsxy44QWlv3eCU5YN6hZiY3lgVCyWCGa400cFPoPGQeNVVPYQXEro0Jr00CVB+
14mHHqceT7LPYggMU5ORK6j8U4raYjWF0il2WPnH/q4Wuon3bGX4DmsSJHbeCFl5W8b+YGx0pJmk
/HtHnP8di/oFJ/dX08vb/uNL/mtR//1HfhT17h8IyjC+SyEo34MFjv6jqA/+oAL9ySqPa/hH+Ij5
hy9YwJgU79ai46be/1HUM9NE84z0mYgTbEk4v/8FNxLOp9+LeoFCjE29aVksfRCL8ec/uZGo0Qj+
SCxxmMIUCgfE2lFvEgh8ENDhthCTq9tyTaplDzht+e7XeBlOrophJpPe2K70cko05wOjzPGKpuUI
nVEztLquMI+qnTOGX4whieL9HCmbhLDlHAqXE6k5H07W+aCqGTJ4EbuQjUu5pVgQYKlNpNb92l42
JKuhCcTnOR3ygHvP9tTezQZ4auHg2B/u+aSEUEWckjQAXBppjz4tTv3uXi9nq15O2Wg5b82+jvst
LEyklUatH1uIUSBuz6c0C2lObOKy3cvSZxqEHixGjcUSTbymBRDw/Hzm83bToUwpZp9edzQ9lTvq
L+ZseQIbNNcG5NsAKK1BEmvXexSZYrli9Pm2yaWIPoLGyj5rojbEmhIke2UrDD1kuayMLl88IFgy
U8YwTaRWsk2B2xqTlbzg3i0/1LSs5pNM259F2d1G7M7XA1Bz73buxvl2dFwDFNhI7WjWpQXeO6gc
3GQiCEmQYsIercjqtMkEHqe+ukySIbmvLIIjGIGmk7GbegXZHrMk+D3Qf/rRnSK5Um1V3RHaAaiE
V7344FkHN2UCYWUNXDk0QCyV2fNUjk29m6sBLljsivhd5rb7aEdefuT7UX9BJck8OBBzKFZzRcbw
qvKMHLFYbDgn33b8d+Y26DsRozCCiByGbUaPLAdxhdt8qYmaAlZu2unaiCz/zsg7KEp5GyE5wCVz
yBNPX/J/Tp+rsc0fURFFz5UlDapys/NuKO+Dd5EBaMAYBPKHsbJ9aSk3IJnQLVZ+Xma3BtQFgDgB
GFrE61ncrpDkNRde2cXHKA+bk5JFeAJ4y3RM4jHmlbdimbzbOnQ+OtTv+WUYsS19g7MOOU0oz8hW
UQ4IfAPAyHe2gVEF8VMWpnGwG+qxhcBoufUzNeCoTk5YdtR9cU/4YucMnrMrPB9jg99F4bc8dPNh
A5/bfw6jPn6H2IpgIA+D8OucC0mASJhFO1WjONV1/tgHLr8UWGFsP3amUUrby+1WCxb/rqXq9Qy2
fAeTmfnyQNdxSmxmV4TY6uyUubF8bajWk12EIrJGttVNr8Zs0WpEQW0mu45nTlgf3zHsUa4OZxSX
pSvX5hAAiVs2Cx+ozSjmmmluLxQKx9UAngHlM7cc8qJBL19oEUOdNVIc3StKKnILlI08bZEP+99A
X6hLEEPpG76BRm+Gdih3dDsh+Fxm9dbGq2PCiJTjjUCkw5LslI6iagZGxrOpzzFGZMAwHfOXdKNw
yTny+8H9Ajy0zbZg1yyxgTmcTO+gJ5eEJHtJSwrHUa8jyurrSPUxRmmTBCVYPCSjEh0g7Sg9ioKe
C9AOAogVOZ0dva80FYMPCfQQt7P9pfHHbutQrtzJphMI49FCrTox2U9ho40HUIKLWwS3or+ZlZaP
RVrLcj0W6ROyKooGLTyt0FrnuOoNWSywTt0x7nS7idot70BGr6eYUd4q8vq9QHh230Q2srSSrUK3
t6JRPQXalbeqm7FW811R3TFNBErpqe+WA8Ash11aCmAYo5IZVceopm3AdrreWoWR5YcB6EFyKF2K
a3ZTzOmRAiXic03K9pVUQl7ZYRE2gPWYyzPTLIcbw5wsYhmq+iuyJPeT6mfbYECLy5FsIAyPUxXG
1NpnI2S4eCLJY41OhSmmk0ydYNzgDyzUBgVWqK8a8p1zdtklmXmuFx5V5HTeqj+v3gGmwaJv2H6v
3BRRqybOKV+V59V9+n2Nr/RTkKr5G1Y3vG/Lth9dYfswkU5+m0/z6Fw0Y5u8qtK13EurzNRVAYO+
W9kBARswv2u+qHmO5KATkLJAabWkLnT6GntmcWcuuaTxOaI0XdJKzW72QH4BNc7OYabYRGF7Ioff
tuewUxo++9QAv/jKldglW7AqBKP6OB+gnJ0DU60lOzVeUlSzJU+VNyPdTEWjjlXFR5pvhT+zZAcG
aw+e+xosiawzEmRnCWltl7hWRW4rns2HmhxX7u9VVnNqQE2eVzSe9ZpiuH/Ugyb89ZwD+++t+v6n
5ujYsCWxlv+FyS9/G9/ffi0O//yhH8UhZj2qLtPEM4XuBsHWfxWH/h9sYHCbe04gLagov4hxPMuE
i7MYAAGvMab9URsi02EJzcA38KVvB/6/lJhsLVXmr24uwV+yBC8LDIM20XS/1oa5GBh5lwVaHA8L
EVtogGQmkaPOwWDhtmOgwMHCrIVDxl/OmzgN1RNSu7Dbq/OBNLF8vIgMMdyxYSkus/PRlYf+4l7p
K/stcnNFnICqCBtfzjmrytqLOfH7i1QoSYdHUguNJRvCuhXPkyXK9wDDxl2HilUtSRPyMU4QIbaF
gwqdwSGL63wCNmbPcfzJrCfrM8cO22cQL69TJlGCNNo/traWB5PN9TeJaUtzwS7UI1Uh5qvyWN5U
7WDf5c1ofnLLMj5VzNe34SCnY9x63Ydr5t0myJwRuAY2ldSaxY3KYuPOjsiqZEbinEKdJbt86hil
uUs+Xz97slqR3zY+WCYB6Svwat4nol68h8ZfYv1w+j6qMsKiC4yxQJCOzWTNN53CrVeXqddsXc1O
c5HqDmTZr0d3fOnd8KJkIrN2RlLWWCoy/CTOCGTAQCnd9HeJiXIGWEh4BIXqH5s40DdAhhuGAFl9
iVo6f8BiSP2FYxlWTaVT80ktZvPUmarHoBzcXZvZ9qWWMXCPdPGlFyKY0rUmBQAbGhNKEpdD9yoJ
GF/Z41yU6yGu6hozQG+9E5U5zJncJkiwXOI7R2vYdWk+dJuiUt4Ta2WuG2ec02IDFcDYjNRW+7qY
nf/NdP//ynSngXRoKf/xAXXXk/bwVr797b76hbr+5w/+eUj5dLCcKlDX0ePZyzH1n4eUz3lDPgmO
Yg4KYWII/q8O1voDAAd/gioGK+jvHezyV/EvpVEA+etfaGB/9wEvmnuSojjyXI9DMnB+8yEPyqha
LyjHfRcU9b4TWXnppmZ1UbsWapkJfu0mbouEgituYrQerQlc3Nbd1U+v3N/xI/+2G5NOYPLSLPs5
1LGcv78dlTory0Ajq9tXQB2+kI45eitYHcVlg9bmOmSKdU/FPf4TF/TfedTlsOch8XQzYVia+5+a
d8ywBT2ZnPeuVk2ysmZSJdbOkCQbf3LixQNsXQcqGofVX/+24jf3N78u+lEGhhZaUJRXqKd+eWCW
62HojUR9sYUzvQ2p9vLGswoS1Wz/KZlmYK0Z9WW/VaGDv7M0VXjREBxaHDCxGCvtiYo+pSM5BrIO
NGfPIg/CJiMYWbo0Xnw6mg1o4JlDsdHfgmrq17y8bOhS1ENrGUTVGXDl4vgbm+4rweb1aTb88CWb
g/1f/66/Gb35VQmekRLpiY3tGnrEr78qSi4qNlPqPQa1K9Y5085iWk+EiUvrNGOSehmEjq5UEn78
9QOfb/Kf718eepkA8RFnq0uYdvDbQ4dem/vLTGSfGzaKLGvrqWqHn+RUKeuVhLtk6xU+WgtuScV+
UZD4CP6dSaAJeD06xkO0NkBDraY4+5jz9iYLMZqmziez8a77qMUu1tnWoRZi75JLXSTzRcb3dlM5
sPRl/JAN9goTKZnJw1vha246/1DmJXoH3uao3OL3I/CrfNZ1dGQb9Dmt+6sO8M2ha+JjmOAZs2q6
TZvePjaetdujguvkaQz4UNbmS2HHV0GTgqTqAIun3TYHaNVJWE9W4u8HWdhY6rVYk1u/5+rH0xDn
FiHY/Y2V5CNONbAz8bi2aGOSmPDywjv0qbxFLPGVtCA4zGx7t/DZQImnlX05aJ99CsI3gaN0i/UU
lUf+Qjg3yfQRvD6BCYlpTrCPjFvRZeY+9XqOipQkP9Go6L5r++fSkZuOACYUxc3Wa+TAYJXbm0AZ
4mu720JWDK686vOs/Ocs7D4SAlt0BJ7bSphCxBEwefe1BkqHuG+rKx8TSBLU28DqXsswMzchy7p5
b9DrH6Hmuh8qj9AdDQiVkq0iWvRa17Z5YSEeMRdqTfPma54NwiSbcsPy8m90cjOddR/EF73yRLbx
wsUbYAG04Vf0HIDnbpeEYH5oLneKzJbwWLYlo7nZzsaVSdTCnUMO7ZNXEZ2EZWe237226V+E1dvE
wDCpHi77OCMgjW1h8w7vp9llXpN9EHlkvTDGEndsuzpSSqMSE3zd19PeQuP2yR9z2rQs4bH43A8m
zmSipYSvUvIX5FBZWKAdtS2Vhbk8wwjBKilDxmf0FaUeRUW2aV23vUj7Yd45+ThtY3Lj7rvcJInL
LNWT9tP4Abi+EXy4rSdOMNRNvrNVUh4SESDlga/EfsPyJxLC3L7O9q2DDxw7pTWcvJk81ltLe/h/
/dqR1QbAZ2KtfWzRMS5CF/VAE4cFHtAIpBvsvno6sUPmE4BOr8vvYpa4l+EopkOajvluENCUViPn
0p5oLCaqU+4n90bYCkans8TxgifP3AU2M31s4qF9hSq6vXachLX06OAo8QeSHVZRih997TcM/DGL
Dizp/KbDOkjqVHtgv+fcjG7oHzt2Hi/pKJtH0GkBgQqm2YQ7L7Oy5wy5Wb8mMG3YydqvGHuNMJ12
dRulL9ysGFNytiK70pm8r6K140vFMd6s8hhaE2bjcfkKGONhJFHqiNRKk5Y5tCFWWQA5sAQQvW77
JK6CdTEqlz2tYa/hO8SYkcjqnRmAY8SMw90c6fBFOL29jQ1wEKkUS5aRmRflPmCi6a7S3A73ZpxW
27wqRojaqTPjrIMAvYFnULjA1vP8U1mKcOV6aXgIA4Z/LL6D7ZTr7CD95svkuTmwQ2LDZr72K2fM
pssBWRZLbiwDz5Q4RLylGJ+lYEIKcXzNWPEl8WbvPofFucsNZV1PYa/VOgm0eTIskXt7PIghREGH
GSUbM1z9BrKBB9ONnUeLiMZk1QZ1EF0DG/Hta2GSON86NiePrWrWODPxgxvGS6CjTCQW6pYH9x+c
XFc5ezDm152Ro53Le6wCK02t9QnFjL8mv3J6rHvHfXJlhVesbnR7p7N4us6UlcgVcjYwjR27X85W
3pkgtBk+pZGRbmKnGEpIGxCqIJL28F/9zr3rc5k9GEJFry7sV2ApJYEl67Huo9vJtyR5wrltvrpO
9OEETbnBaJshe1t4jase3tSBX6zYsY0bD5Ydsu6C3HSTwiq7ItQKOWaT1idXjuEtDSNIPb6zj3U4
ldwwRaKvKtgLOWK1YXrPRuHcVhFDzo09DvMhtTgriEtV5HZYvXvnMhMPN3bUwVEv4obxRx+lEb5k
T+MjNxomfST5hTl4L4tJ2LIAxbLt9mbIAj8y88dIOtFFanJB2ASIXzjdmF92nW3cgs7w0MeF0bCO
gyIgvBI26XOW2qg8Ot8M32iZrMtO1/XthIn8iwPy4Nq3Ci6oXmnWZk160ZOUSK9W21eiGq2rWYLD
5jCsjvFYiwNTaJ/krRZDW8XxyugR9sNjxRvKpK52IU44Vdh+Du0BMEPdZXO59iBktpxurjgFNGpo
Q6vxiywz+E1r8m2SbMN2pJXmDlKbrJJHyAbFmKOdwpfFjRJO8VTfxMKHH3JfYFIxc+SDoCLipH+V
XI5pbRxGdyFyd/09uQj7uNPzEn5WHsyU01Vr1OS8YsUq7Xt81EGrvsaqSA9WHcaYGiGYwMPf4lJt
dpWpnmKXL31mARAp6wYJ5CJF1ReC4A/yXuV2oAPfRr5frgqMMJbvHmU1Xw5EG64aJrRGnQG1QqWI
KAJ3sXcdO0jVmQGm20kM3drOHGeNXAdmGFk/0zjfT8p4n4OJOMBU3sdocb8Xsv82HeL/1OEVF56k
Zv/HveHDW/m3yz5p/3ZbdVX7f/7jF9ni9x/+McTCAAYKnGEUtqzFUEYT+OeG0zJBTi1KQQl38M/l
548Np/OHlD8GWEvnyLP5Yc3Az7GAUugbXVAp0vuXGkRcIhTovzjKFm6jNAXCVVaL0ub5/dwkRaYl
uqYj1S+E9Fpdh3PcTeT+hMXbNOrwK6HAo3EfLqMKYuU5tC+zpA7TC+mrb3PG0BviClkPgSw+i0TG
Wxgn1tay6LE6CcHGrqvg3WJ4vXaL+UIMDOCRWlGs4MLAY4le+poherqKRf5KKk+yQtPkkQsYI6jr
sv6uV3O8MXs/XwP4YITf6XjjWp14BJvgHBXxzUA3QAuv0lEfmWqfdyrBZV6n5UFhqsVXrMwtmBzy
XBgcTZNydiTLFBD8dXQQuZJrwEnlphni4OCQB/8azwbphE2VfjOLhJ1NTwxnxl4oXpM7lO/Nwfk0
xO0HtxWIBMsZj4UpRxRjCbRgk6tlquaO8FPEB/485Fdz2YXbvi2opyPZPcCwGa9MNU4fnO/xdSWd
GJTQVD4nMBo2Y+J4+Kza6c7v4uiK3obZWRiGF1WWN7thiJBFTYL3x2Dehwgt/Mp6rdlX2rVh/HQ0
slYkw+QK5xhHSBHZ7C0jwqMo3T1ZC7a7WWHsuHXlfBnI0QfCdfb1VhmWx1UJK7LEcr14f+HN4ANO
z55gffYHZ2evcOUsvmHn7CEez35it5urgADjxWdsnT3H89l/TCIaXuTquzG5OruUxdmxHH53L5+d
zMZiahZne3OC2BK8kx7jrR3aIQ5oqaav89kXHVmLRzoKWDduzSrMXvvFRJ3VeRYc5dk/NJ29RAOf
xWbnnD1GzlmXbZ412piD0GuPZ+022KByCXxZNN31Iu+OMZFDJllE32AB0X87ixRc6Dx9sdp+uIH2
gVLcOKvGx0VAbi9S8uasKvfPCnPru9xcfBefA1/O1K0zlKCBo6SNP6Mch5CceXjn7lhLFtEpktrt
7ltlj+leuHZ2rU2+MXsKWY83iSS4cVk10nBSOY4wMIOpQxxfzxDSN9xl/kQFVA3FU8YO3D+MEHXm
Z9FMuVhNTWJ/FP0045X3g+Zb4Oesw+KelJLr2QBAAoEjhjMC+bf70vWN89C1QeZvtIXl4cLVRv+A
NFaPuzgrq/B2KEhnWoshSvRGIoyh5WsctG20xm5AhF/CZjlG55tPCS/LCFyow91s7iMPGgjfLKu6
6qlE0IsVkBY3thapfmBhBH+mRMDrnmQyUmfmfvkR2pXXbmmzUB+F8EpoeuFMlVdWRQz5/VS32LZB
nC7syAzlPRMGYphQdJa9i8W76SdCd6HMU3TPevDX9HQe6E/sY9y2WdvzLF2aFpZYJgWA1po+ymfE
TI86pHl5Gtu0CDfUG8S5gKNwu0+iYar37MxW4190jV/59AZWdm9lOLHW9RCPF9Ami2pbdhk05yIS
+be65mhZIWSU2ZZiqE/fRkfEb5EGCLMKIKs2N2Mcd+C7R3GYe3/+HAO/fmK564Xb2A6D7uSnqrHX
AKSZhqHTld1tAsoQwgYBQUmlzI0zGxUd+MJ1W5QEjPSJPoGZReWzSklL2s9xZj1B1/HuS3hTDLyR
b1HlmtMVGEID4Eaff8PfGfLquJ04OmnAqSXmov5WUfmjOsFBw+pF7NuwT76VA83fe9PCjlgjQ4zn
g0klNO08I6wf2StogefUZC1r0jzcTrFnPMuWoCCIJm7xME1zE3yfJf5vUfJPHO72MmH+y6IkKd/y
6he11Z8/82ctQhTBHzarL1jlzg/A83/WIsEfDoB3UkbIRfhecPyoRbw/+M9M2EyqGOaoSwXxoxYR
f/CfKSAoVSShnuSZ/AvD6t9GiXA+pFxG6Uz0lp2a+G1WbWHbbOM2qYCXR+1xMH2sEbFEWuikS7IU
CiyLTHczflAp+srvpe4/ZEf+NrI9P7jNHBFnFCNNNEy/lkGuk09xEPTlyRpNfdMa/rQj2KNkl2c0
XnjydGUwQPbtcNOkmRiPWT7m6fant+vvTMkp6n4pxZYXgFqROTluBCQ/y5//NK8uK9bks6/KU9GN
bKrQdZL7XWYNcJpROS9//WDLNvbXR4PZzScqQHfls2Y9D7F/erSpw5qAsiY95bF5EgtXaxhGb9d7
ZrNuA2RRK58BxCFzBlyKdS2h9rntkxX5zbPX9ehs3THchp765qSxpdd//ezs/+f9WACZFp5klwvQ
YxDy62vRFehfKuK9Tq0WyS40WuPVkQ1Oeh003CcWIDySq/zWeA/arH/K4tGqNi6n8tagNeNqQuWO
jzPxhzsoJsW9WmCQDCd8QxILUMF5ruO4HdYhLaPa+VEFZ4ZQMO++HvqX3J3RSIRK0+nzy3c6uKgR
LrEZiXaolNM11TmGA6enDsiIjd4RZmGd6mCa0F4ksrN2Egul2jFUDQhoRRm2QN5kW/yTD60Uy8fy
5+qd5REvEUPw5U1kW/5b9e4kEsCa59UXoJjUBmuQgm2Sy+ep6ufzANusL/zYIxp2SW3oHJsAh3aY
GMSahjPDR8uWkIc4IO+hSmgw33ISyFzCoZdgCDFpRD6RxVWuwrohui3BGHPwmG6UW5v2HYtd5Ufj
KUgq4yDjJe2sGJvt3OFaVCw+yoYQB0sV8ZeZ5NVbwwR3UojwiWHKcQ4Sfx0R43kpExK6CayUDyQf
BGvqDH2YBQHo/ljan4gRIcVMsIZN0o2ZE6gVDu5VpkKx15GryAw0HxoBGj3O/ewTSMJhnYWzuJiz
qi9WprRbegcxigtig13ApO1ky22eAjs71E5NkJZAVG2/d03YbKoQ4DXY0BmTi5yq7Isuq+kYaq/C
B8WV+mbKKcd8ylRWrEjbZGrMgDW079BnAWZECN/ftM50R0gs3pwCySue1QLDcjig9fLicUW6a9Jv
CgxC4YouQD5LrWIyv5K5eokyqutVPiSyXFleweaZUndQ1BNav2RZqo2DPfoRCkG3IpLMmiXxmox/
8m9LCdushi6p7lKqu/3kFOq9zRZvjS6He1+juV6FoV8V4CbCTu6lxWZ63SPYwTE9kJ1yG9vKKQ+A
AnpId9OzY3I4bKXZ+s1hGo0huBmKfk5Juy8FIRDsNo+yHfp4P/ZWJV/TbjC+McH2piunmPpihxsq
vJ1gPwIxjYP+hhohAslRdTfs5+dhR6FGtEaeTW69warjZve+n1Ke9Xwsy9uRW+IqCoP5dvKSYmbw
poz4MTY70zwi7J9N5OgZkCRwgezEhnK04su+bGKmcUWE/4vrJa1OfTV5X/I29cV6jNrpM2+u762s
HrfUShmylhdjH0tEDJOtLlUmvDOtuMOuUTbheEwbzwKLZNWsROuCQKmtcGukZyc+8e43MDEYItDG
7fs2GnAHgQI85rZhHasGYjm9UYRcsysIWoXD0fqjc68RInGRROKElaM7xF0ywUsq8TvUTvqWeKmC
d1tEB1gIfDY9cEiI4NrNEqaTbWbHMl8qNSI+zef6us9m84DL2z40iUkWcVPaezcfo43rZ+G934//
l73zWJIbSbP1q8wLoAzCocyuzSIQKjMjtSQ3MDKZhAYccId8+vkQJS7Jut09vRm7i9lVGTPIjAgA
/otzvoM4U2pr5b8GPXy3EWbUjogdDFJeaGeUoeCODsvKZb+lnTF2lkxaM1rsCoZZPcoRv4jqAy/q
/aExcUn79gY6qpnvCKM3jY10i+lSB/a3ls6MayubnXsSc+hyp2B8x+JvRVYAnCALWv8yIV0xQsxj
7BqkyNtZd+1FK+z6UGbMK1s9JKexIcx1BKu1G1KrPThqBv7rCRHvhqnQtykxgfTzRAc2GBOvFtdp
Q2pWTxhbG4ydFSGvjMt94+Yutj9DP4baYHOAq+KdFq+FfdKbZDyvb+/Yts67gB63n6yl3FMcGxcy
M/07VJHhYdaZc1qM4T5UKKTtLCQ6cnK9Y9NhMF5VGsxCEJzdtHjTbhEzG1GFfvgYGv6A1VqaIbnL
ZfDUL3336HBN4CEPaMX1kI5DFLIOuqzr3n5Qc24c2gb1Y2g23nUdZ/mjHdAAL2ylmBOqfpsYbn7b
K3FdhxLZbBhCtMrUTrLj3+cFmTyi8F4WSbxSP5bT1pvt5sT3CxRPduOeneZApCv7i6kA9LoMUhBW
G84P+P++V1xCAIiR5yDfY5UUTaAMb3DJN48gd8otuiX3bQITyd9QxIeB3YSlCI8p+t7aObROR7Qs
076YUrJ3W+Ec3AW8WaW1PlT9KG48c/H28yjVHlFwvoNhEESLLuLdUroow5WGdRMPn1orppoy2vaQ
9mAObCerCQoewveWx+yhEFWE7Vs95xKHmWWRZ0DawrSfdW9FUC3JIpaICg5O1YcvmMH6KapQ1Z5s
qAx0rJ5R781QVZf1ENsjz1phP6quT8JthraVDkew47sYRD2e5okMZX9sPXi3ZHPJKwNT5ENeGe0W
afLUXWp43qCpAZNedeT0bouQxMdFBa/oJuOdl8/i1g3XSHELZ8zGYxBzbGdpXLZt3BydkdAsv0Su
b4XpLeM8sCXCVA9wDcSuIHL+Avvf3glluxtyPoXG0+9JmmRbXNAFxEIaMVfV82GEVbI7P3U8J1be
1pwsojidFvJEY3npG+ckVkctyAQZeyxramALqgPi5JnWEPxDCgYrsTyMdO2Ehzy3/LvCjMPXasyC
y9qbECG5BZrgfWbU+TFPXQ/EoeivBLf2Re1qYrjq7g6QAwsCACKPzDfAOQBu8E42npnTWFsMtnnw
sIxHpA/WbYjVrpKq3bFcGT4nrNXvUEapQ1bLt9wq2xth5fK6K32otoNXeTs51pcGP3zn+YRcbfw+
7RD+onulPyXuDoRfDtkhmg2nKh8Mb54+pJmI+zY2Vry2QxiuZfKvN0nOOeqlRfClKDL/lJhTkaFy
zyiDUg+zJ+gjECDMx/z6YRxarIJTo8KXyYnFN6cobTZ7naXQUSDO0EnmHlLRJ9clReKDmTv6QtqF
cR8sdnKnrGm+tQecIVVvAgbIO1JoWzfMxy17Qu/KbzJ7ilpZM6uHTnJLv6bSTdn52kPInTQ7ZArF
yXOWAEv36jrg6Y0kvi+QIYvY9Tez1WhyVJuh3xsAOvbLFDo9UKpeOu+V2yPeRqQsvGMBfJmT0PUn
/ubONgyW54WfJ9ZtGjOe2Fho6he8hY1+nFjYHOPUKI/k3niwR2BvXMwL99Eef2n9seoEB8jPtrYP
qedgGmU42GPbtlR26bTtkPPMa/LyRMkdLMcxdfpmA/KVjUvohCRkWU7nkGZr5a9+YLZ3uN1ZUUR1
ODd8FnFVCpbNoV8WkUMCPBpAwsXQOjdub9hR1ufJLSpvdLmx4IFwt8wZE6hJY/fZwxFuDs4aLXZu
Nv53ovAvJgohN8UPbdnf2FPXH2uY1H9EmZ5/XHD8/rL/u99gd0HYg/VL1im8PIeBgUnrRl9LQ01r
8sdEAV4ef8L80TYB4qHjpTX9Y6LAH5n8aADKyoZItb7q35gorH/RT+0RFFRWG/xDMKxQnQW/jBSy
wfOZD4twBczQOYgV/5asIDioAPG3uKuMT1MS91GF8P7OclY2cGJxH9pc4G/JnDyuOcOz8R0IXLLx
bVKVmi484S08VL6liHdrvpQ6/y7m6spVnVZc3vqr1BB1Ed/Chgw8DapozmhfVJixxxd2gYuexNKe
7A2jbLcDVqqMyL/hGxSE5FD00xRuioR488Cu9tWa1wTvPWc706vneGKzC9hTH6fUCk+EXcOJZ0pZ
3Uo2sZ8AVb12axbUlIiEh7BjH/ElW9G4tKhg2uq5dwONf8U+Yjf2OV6DbjDBq9cBKhbZfDFFVb/W
0mmu/drpn1TZZAQ5EEMFeLh8NngSvjo5jFmOuDWnqjtj8rKVmNeZ4wxbZuXoBStRL9UrXO9/9i5d
HwfvjcTcDfVW/ef/+ePxsF71P/0PA1su+HtMK/PDh0KY9OcFuP7kf/cP/+O/pUHFWrhmhPzjPeNn
kCj64/2L+vH+++NVfw31zN/QOKJyFLYNIGXNwv1rqCegT7J0ZJZ0tlf+YKF00abaHkJ4y1sjhU0e
BH8O9SySiAUqIx9qG6I+79/iojhrtM9P9+A6yOJfJ22YzuLv7LcwtQoEUTngq8luY4oHs/aesjZx
P9tLkN253FsTxKxkcLekF+j5up6X8SOX5vww16KdtoQ7BK9Z0KhHM+5ZCNiteR9Wo/vV111vbtVs
MfXJCd365GRz9ogYaWGF0IEq8TKqus3kNObrIpkv7jCUwDTIkQIINgcQ1cmKWrucbkakFxvgdoE4
ls6Fh+0w2bNXGZkNYbNctqZakZR0Sb4Z1cjfljglutRb6MR9n54BMlly73Zd9jXLWgGZzSSkfq5z
eGtB7onnLlEoJwYLaMtcALK6QHZQNltC4zUqT+3lz4kn1TPyPBoAw8nRvgxh2kM3MDL4V5A5s88+
2LFvCoZtH1nTxME89nZ46gQzLHYB2u22sdaMxXqPLIbNLBZ1rKFk9FfGmBxSOx/wldoskswl9IsL
DPKxue2mhQi0wiXYZYhnYO/Y7j2Q7HVdbnvCwVi0IFtj65JVrT2QlrNuY/R5M1N53ppsLzJRbaq2
DdSuWBc53rrSac7bneK86fErgpqvmtBqAMYryqZt73iFExWqa64baa6JpJ1pLAdx3iCRhsA2iRKT
nB4cbOu2yft99YRz1q/2toNHFYfnup9y8tTHxrNOjrcsZ1hh9ed1Vr9utvyw7b9O53UXI0w/J1bB
781NXxI2umfR46KQzPr2e3lel7XJ7HzERV1BBkOyB27TmumkjYGJ1xRMU/WyVC3TPKuxCJSVRYr4
g9xli/XcCixEHFr67O0YOAVMplK+L4LpMwJbw3iGqE/5px8sgHTJlVKN3dwnK7GMRA43fR2HPrGf
XNcouztP2uPJ8GvOAm7Pyt2FE9k+914is2dwcaG5a1VXmXcg2Mxk3yTrT3dqVdNkfv2p7+P2AS+b
c0JvaEwRKVeTODLLkzcmvCF9LEAOvtLNs/fy/dz63NqqlRvBI3PZ5Vr3RwAZYESHjhqS9rdvWCA5
+PJckleYnOTZTvQlqDK+KiB8SyySx0U2BloaUfU5gkOX5eGVqMApbqHFZ4c0VtMhAcFHy2RIEB5Z
moR3szDCV8rMpniGSsp2EhtXbzeXi5E2u75BL7Wdgqp0D0J3jIxgVpxMohkh0iMHYCLjm8xGYuuL
qMLswWmSF+oM703InM7G6OJtOS3TFgKCPmgrGHc8BNtmB6hbfRqBmYTM0wk0Qr/TpPy8X5YPS9EO
4oJl1VBvxhjcJIdmb5HLkhiIC9IuTZKdpZ3uE/oyA9p6XgX5VY/n5ysrMeNCO3b4tYXyMG5hOnMj
un3dJxEHd40Pb3HS9i3j8liiJevm4jEUtQ2PW0wBbbyBfDkyBH/hhRZKoIMKe/aWj3ZmeuWm6VlH
f9RENuTUFMxWiH3R6TdYsNy8Te+P6Snwqnm8NXDHbmNSXsIj0O9m+ugx6zKBsWmwIVCGBj5un/Uq
yqOlGAChA5qTkRpnW2zjbGIHnHRZI267MPUW/L6WxyqzDdUsoqIBdbctZCvivUXKLmqLzrC+mqZu
MKdA21N471rRbZgsdZ+8tp3SzTh3OK9Nz+jjm66c2bCn6EFToGk9WMzETeMRSbqanksq/k/BxLNF
V252BVSyZHLTDv5jMJgFj19SaWHNBGnwMc92+mrHaQ9wz2KKFwmA6jfVYtK7tgAr3rS34Mj025Yk
ZBD1/inm1npVsZTZLiQgObs01UgyWEZYAgMq5v/6EKTFQiZS0bcQSFIAcrQlXe1vKiyqepNVikFD
G+vslOFTk5usS1EJh4OOvxYIMD5sp+BS41iY0mjGi6UQujRMhex5ejMwz1eR7Ay+hgaJ57wx1CpN
5wtMd54alIPmNQn6wyjNkejtXDCIiKu+5EWJ0926CRXZasfWxYXPTU1icpmQIcfaRNQHb3EnZoci
YZPd5shyN0sC129ny0AbRzSH4YPKlSQIJaw7ljsQxEb0n7GPiCSc8KALP6zm127oVb+fiwaZeSP9
rrz6ny3bfqza/vPw0dx8AVZ2Lt7+KuZ+L9/++t//T2o7ljGUYv+4tntsaId+3tb+/pK/CrvgN8Eu
NsTD469wDKq3Pws7y6VNQunKVwRYnM3sX72Vs65k0ZFTvQWm5a/ysL8KO+83m98JywQ9FyDe4N8q
7H4x17DwdR0UaGtzd26tflnQFb41g/o02lNltStCbq7wYzPScxhx1ygaHVnWz27Vid8B9/9wUeus
PdsPKy9zjfZzTYxRlg1I2PLWnu+HvWVepWrGOd2echIHki2pfj64mNqp3CN3TmMfAOEIKHqzXMJb
4WfxJ5Jt2Ygxab2PIeqiVVLkLU29al7GcGRu5zfuMvECbnJn9Dpra5idJ7j3V0oOenXjaqCz2QUo
OD41RegdDTpFfdKT6+P+68sU/Bcc7i1bmEpvrdTz0Ojjw/8X7/wXpd76xllQr8wTe63K4RX+/Mb9
OZCWzJoTW87pqQGrdsuxYf4LQ8+vLTMPS/qC9SMGWEDdvi5mf/h4YTr1Totm/RRj+XmJCX+VkTuP
3Y3omXJHP1zxd79/az/mVP5t5U9co8Wad23RfS7OX79LaZDKUUzuFcaN8ZZwZQG/2GCnuG9zRlKb
3IwBIsRN658Q0y1/JIn/w2tpFV/+eC2hwKQBQvKAOJOr2P/1WvKZa9R11lhXs0NfEOoq7jc+g/D7
XozVK+zk/moai61h4MFFqxgc8NNRP2dFmLA8keyM//nn4ZAy+stvRGYnuG0KM7o2F2L2zx+/Loea
lC3VX7XKmR/Qqtt3dQDKa1NJEBPbAWLHXcee+3kYgpXN5M4pdoiRCYQ97V3k3tNhSF1jumCpCj8N
30zIf1eN253KtHefhn6pr9SSJleE243Xk1N411ab7BbYXZCRR24XK2DPgOJuQGlu4QBmzNEb5xgN
55mNFqjBlEP8RDhHjyVZyfcZv9o+TU2mD2mOUmzJ4/lOqzk2d6hGTAwXawiA5hAdr0unDE8TBQto
HGwITDgF6qyHNs+DctfhFr6qRO+dFmdZjRp1QgBSTrqxJETEze0d/oPUvAg8eFEDyiactFfOGBb6
Qhm5Xe7otzt5j3Gjal4TZZQp5A3hiLeOcBhVbkPEUwQFslRFnYngQ1CTTn1/o4naMXZ5EcQ50A+6
qieMtnWyH03pvrLKt6Dc2MRTvltU+iOrfEgKkDPybPbBO0hyhhvwWqjWm65c0H578Hlbo5+HQ0zl
Nh7Y4409aUOm627LnN5oW9uZ7CKLdL+RQfDActRf5MyGam7bDYAsMrKpFfZ9X35bZO/oXTjqCinb
omSeeRH5h8M05uucyvhK5impEKSN6EBNN26Qh85jX/F+qX491G3pkcqtXfUcYSJc+67izQXm3nWL
oj+xQvW7YtsUCZAJ/OZulA9WvSkcsEbaz+rPdTa9Iah4mOL0jhc8ApvwLlfXfkTO9pVRew+E2bF7
mXzzhkxP1tOhvncbTGRIkUBf9sQyJSrID8rq02t7GPnIXMNiHr/Qd6feWxkW7dFcfHks8KpG6cgD
uBeD3E+BQQK07ImW4frdwsIpN8yEg309xiWKBNz2GtpdmIVUoWkir4PZNR7Gpr5mRWeAY3LH2zkJ
4/EisZDW1/Ea8ldRZG78DiFkquBKaLc5GL4Odu1sIerJkyJco7Ln+zpVCbtFO39F+WE/pUkvbiYL
CgYKhJQx3pzBtZwdQuLC+cbPZP9KvPXob0kAdK4a6BLR0kzunee0YrnLA6Oto4bw02bD6oHl2ITz
R8kA8sfg1zEBC12S7uJFC30Enojhrm09gViTDfznBu7F7WS5cf4J8l0R7EXH6RsVTp5R8cMUAl1p
N6Wxl0ZV8NV5Zv+FeHp7Bx0/bTaZKvv7oK2IrOgyP9zTpbI1QBbafwL83egoT5VT7OpcsS0cNbmR
+ITTwIhQyWcvOllUEVXhYsJZaTLkEW01O9/ToCW+eU54BMENYR9G+wceucGslHD2lxzBWzFUznsy
Wu6lr4yxO5RLlUMLxZL10nte/ZYYptet7OlJ3gaicvqNYWS2vOxFzcCzWyBuA213sb577fKdzs//
JutysHcp20D3GHvW2H8y6wJMgKpGE6ydEkjOh8AbTUDsCGELU6/GrrTQYdS1ZIhEKimMJUoYNr2a
Q+tCD1JyuA77IPsqyN7CGzVYKHx7QKRRzcN22Cjkvj5xfy2VdF65rQ2cxOEZ11Q1BK6KfeE2jEMC
1xaVfRpdnRUbVS71iA9LOeA0h6JWzDd8EPJD0/ckQBdzIvYoDybyOXxHm3u0QsCG6ATWvqsbr8Op
gA5TVTp5sp102hvtoN+RZ2hzY06V9wGWF8y+bbKY3SCU8plRjxWmG6tFDm8nMx09F07JvUNM8Bvu
wRCdrYkEhF7TNq5iryiNnUbUPrxoxx8+h/4wDPcggHGt4osMieAi3heh0DRZdmQonfJggu7zPNpp
Bj4oGIavMMntZgvU0X9OV4USKJ5C8IRNHdPcy0671s71qwpJwVyHxpGY6dmEVltMz5JFq8RvXqln
IlpwDnNRh9+TETgSlsBG5HtcAkQRMOwj8jSmO0d6YPoDZrDBrO/QUVXfXexB8IW7oZzvpXQbf5OQ
RUuumWn29cmV5MdsGPJZ8ReuiUzuoIyVmC7nDHFM7rRKAjBy22TLBFE0F8UY6uWUcxTeD+7yPU+a
8pmlbvxiwy8Fa9EZ7ONtNzOcvRrMYdhbRt1cxr43X2SLsS7Ip3qJ6tnSxSmmd7+yLb2wwQ+SPtis
F+98sI16uBSWOy9HtJn9faxUdpgQVY0bI3GROdTJYhIpRrV5lBCnLGJCg+9o3cJDM8fZk4bDesXa
r96FYJpgwba2icOJWf3tjEVho3JpXfL4YEZaaTgRSWezH/eW7Iacx+EIXqq8GGeXKRmUfos1m16y
nR7axv/smVV5Xeer7a1tilXjU5pNvf/nhc2vOrV1omxaa7/gOLaDp+Tnsoaov7YzCIe4QtvvEypm
q4VHYVnbPLTQ+hekoQf/opb6lX1AZ8K/CS0PwqbnMX1e6+kfKlnUzliYy6K/YsGf35qukm+pRXKZ
r8z+IAq8zI1YAV9gExK5xf86XceDgTj+/Nb/d7v4L7aLjs2A6Yer5G/rxacvX7+o95/YGn+85s/d
ovlbGPgYT137b9tFQeSWWL/fVXV83iD+uVyE+A4ZwIX6QPe87hf/aoAt/zcbNAMMinUbeKZu/Lnb
+aNXYXTwD5sHrtpfanWQ8yxOKNgpd5BOryjMHy8wX9QMyTrGvYqB5+tsZ0HYbOk1UFnsEZZUxinN
ZGp+7wqtJOs+TveBR1wRWpcmBJ6rGjIrXAFrukZIVu8gi8nLzrEfWPe0VwiT2lvIPMYVhnJv3phF
4ZxwfBo70WTZDehF/KMolv0noxxLzru+qXHCZp4MLqoptS/B4FrfWQ9Z+9rUw458FbFPhhlFlbTL
ISIqYzyEzMf2mlUjclhvgPabzA1REuitr03wXXdWIfHWm4My9dcl13iRKYQbdKP50I35FmzY8Bnt
o36O+Xwi2rc437YESyUP3HrZkfPnc0HCetTqdnhy+tC9I6KljRJoaCMZkGR47KtFqY5TK24ItQ0m
n4jWNMXMwf7kUAEo3LRgRb4PtZdFBfIfdAo+07Q58Y9egfkcy6l9Yzrxxype2YCAn+ejmtOJaKu0
IoxWYF5l7Qp7+ZaHU7Mt4Mq+Yj5D9IW845lnhLGr0qW9ggxgFXQZlhLHonaNC1Op+qIbMlVFA6GP
1oaCvqi/MVxUO2U7D+kYNzuzqqq7OVbMYl0fld4SpnvV+ePLyCQ2ShB7U/x4+dEhj6beaFlRw7au
NO5RidUPYMYbrNsSpynxuOyCebtmW/nvQ5nnR1FK78QAw9pqO+fts3EW3yxlxYdwSJNvQo0fgizN
Q5DRc43OnB/LzHU+92sc9pzU7VF5IHMnFLWjDSx3tj7DoRdHK8wsNir6kpEndMMaPlMSUujkgzo5
vnFR1oa59xnLApoY+11lu5ApJq3K67ww4nvhxrc+I1lWQYwifbd6qZk1ESdtHEVOcOpGjCrd+rI3
DIQjxtDsTQxoW3gHGMyVUSHj6klnSicBK3qVvyBdAxJf+HLXdO1LPzrhvQMw/MS8dmR6naiXetHV
LXW3ooQsE3KhS4LIOTfzepV3TtsQA1yYbCp3SicK4jC8skg5PS4s+24CqCvMqxe4GGz6GHd6kB36
cTWbWbkhceKnNlLnfm2RIoiA6n5gOEw1ljqfrZS9HEN8LMqbAXLCEVpCcgUkOXwK5gKWqpxjg52g
53xGH6DRwnn+fa7yF/xeK9tKU20YojTwz8+FvXErPTBm8hIHMUw+74CHVJFIUvQHOMuhd6ZCPDaG
ne1GodvLsDDajwKdwgW4TFdDkqVXIcESolUJyV/C99oQIT695QVdIerfaaFUYY+Upta1U8zdKQ6J
MdrAXkgIM2JJpDagpYziqgym7qmvsOtvXLRRJNpMhnWTZn7zZuZUYOKYBs7UR/7MrbnhDpEj6K1O
N49o27CiO34fvqnJzbfFMi6atKqO5QkVLdd+A0M5YYp+9H3RX3bzLE+hkOynFrEMD13Gu8tbe/yU
h1LuFQlVpEa006GzzJIM6SIhMLaq6bFLc0AXkQqneqxZFm/HdmbIb6hiHxK580JEFKyFMB0wQC1O
gtsyC30V+QZ8MW4zS+0myIiRsKdT4CbsYBu8FMzuv6PH3DI6vSrXUONYGO59BQL8khoq/ahiwg8i
7ASh8z1TOsFkbacGWGrylDZtHk8rGFO+wPy1npcp67/DI/FhBfhHI5cViV9LfOBqeBAzteUmN5Li
iRl/EEH8/L2c+t+a4l/VFJRy6Av+8VD95aP78g498ye9xO8v+rOocH5zw8AJLDTqGJ7OA84/xuoh
pYMDniqgYhQWqd1UqX9UFTZjddI9YU2HrskMdkU6/SlZ8n/DPoOFmugXWuJ/MytvJRf+NJJcmdc4
oGCJIea06JZ+LiqGypCtbPzsIpEBw8ggIYU4A0bkCWl8mFUx3TDNtrPtYgDE86VwvAMiA/MbNj3W
89XMg8dM62+DHGdi2YBnbnKl7Q/PhYA6B4V+HFARmNsfPuT/xxz3b4NUj3H8Gj2IothyfLJQf/6t
tTH32ElEciHHdpJPsTSrq7pq2vYCQXpOWl2Q3Tdzh5cbf+GG3tlnftoE3xrunG0ABGb3z38h3/11
tAxW1kYQw1Q38LzVU/bzbxSOctaM+BJk48EyRsEQd9/8gvkK+vXk3iHqfSEXnu20BgcRj9sk5ThJ
zyeLZH5DusJ64HSNqG5Rh62HEAyRXMQZqCSOKMlZhTli5xEcsY1HRfrn+UQDGbJ80+sxl/5+4s0p
D5zzORicz0R3PR7d80k5cmYygoHlNRYvFcl05GlxsLqcsIZojft5PXQp6zh/7fUoDtZDuVqPZ8E5
XXBeAxYj6CGL7dtyPczJFrxgoik2rkIjFqfyq7ce/TU1gKYWIOmd2L42IOJiLRSmtWQI1+LBXcsI
l3piambjvVKmeVTmpN6l51F3uGsJkoSzd+rXssRaCxTUvvC/XXLJYqqXSpjSY+pDSQMlxLjvz3VO
52i26cFa/sCICbCPURKpoZle5rVMSryk3C5r6RQgAb7L1nJKU1d1a4HVds6iL8aFMCGQKl037P3O
pXzTbpXWfDWSiZWGqgyAI8SWCilbsMUVqRY7vxHkfM+BUZPW3qZfXNnkqx9YEZWEwciUGwfhonMo
4VrDzg6bqbsJsGEwih5LAm4tKqLrtDXnd8pk+xVRSfstdurmoVEkvZME4hvbWhrGLaMTmxfVRv42
Zv40XbX1lK2fxZR/Ez3b2QNzzop5kZz9y3mg9ropuA3rfSaX8XXBPO0eBgJbyWzP0uk0Bu5iwB03
VyGUQIccwQvHNcIw+UgPH78G+WJckeeDMiTMnLtsWOr72baDS7wFycllFnNiSLO3GY7ENyOx1Niu
29SVSBL8/AtsbDAHYLeiPkzc8IqxzoA/CiTyU4sajJlm25oPlDWE4JLA8u4DNaWCRMQ/oWIcYQQX
+POx0mXU0FZVPE8lQKGtV4XTAwOcxUFsXXbOBam5qZNtm3CsrBsiMPy7SSdNvjGqKi0vGUh543Pm
FxX663jIqYeSdvEPVRcH1Zd8ylt4Sf5wMU4ANKPSd9jnmXbS51eLroshKs1W7zO6+F2P6Gw3iEpf
e0tZP+VITsxdhVRBRq0tuwtlhfJlLLxlVykqCjjNOZpodIr104QIrN5ArNHPRdiQ6MTe57PrqwAA
J1sdlGE5M2fe8L3Te/OJLIJRbljtFUtkdTX44cI0O6phqDvMpFzrYu4D5EWZa3tzpBCUvtU1kH7a
kr7f87wXl8rJ9JaHgCcOjQ+QKUoakPdzHeevOsRhILQnssu5kvkRM1T2AmzevjHIKVmlBzCwgl4T
orXA04PGkwUJoV/eYCIZzYp0mzKWs08Giop9lQTVC9tNcbtGjJDU5C3iIvAFUabgUvkOjdonR2oJ
nwhMQ7ARF/b87M21vwtMZuZRFSfue88hyLAsVXwKlRkUl6bDwpObqQIwTxNSkUuYUgbSz8K+oUoV
94WltNluKrUklQliNQ/qE3O/tCQNCv/p1nOYRqGoiUiimU1iDAvnveiq4EGcc9BDojhemKEt9yog
kYNa0XVu4jppyHch+KCeGiTmmsi/M3MNnpDImE6WTHj4Qn2yTkIKwDw16y89mTiPuJcS+ACJ0z6H
mUbOlKKZehCda+6srgMoRKNFC5f0kAJlj+ltwhXZV7AwJwM/WlpQ+8bkkx2Sajy1U9XsJbu0C4wm
+mEm53Q/Y9UDHxn030DSGcHGhuGPxQRxol2MZAB0a0LOwra0Zrq9ychyZGrOeJtwzq1BhbOp/faz
l3jkQlnTTsEowRQlNGnSqUReq3Jg8pu+S4UFatwF3GF0K8SjPAM9AuWy+ZFYNLPrJGHBsxHm4Nxa
li8PcmWCgFF7q1uh5i3PBTyWVtfuocnFl6HszdvcatJrRS98082tuRthsW3R+dVvcmWR+PhJbhq1
xN9sppLXeVn2j3qll+D5x5BpGd01++1dOYzGbWYn7ml2wvwyLQ3juNjclZ2UH9nivbBPNSDf5WBT
Sn5sF2N/WQwzYuoafxBXTE/dzoKcI7ArqkK5ZK2rp2mFsvgrnmWxDVb4RUhglhlMd97ypoStDx6j
3ROIBBENGcYZDCNnoYG/rSZwMJmX2M/kTrL1Cyq9AbBQRr0mC3tcUTLVGSoT5/7LuIJmFHCPbUGN
cFP0CSyaeMXSOCugZhbmJfIdGdl+3zwbAbTOliTcCNGztUucWu+CdnZu0mr8rDozvpBpTmQaUIpN
Oy1pfrmcMTkSnnEBYcYilcDfWT0EchxAo1oi4gESvWnqIPnW57NmbyFdZ7skhf+UswfjKnQ1dHUV
QwVzkf99IWoBwUJnWnGyyw3qPmw2PCqj0mohQc48XAECrllivRu1k1ffynRKjsYMC5qrSFcYNqiG
79wyc8qjMuAbQ+Y0pnnD4lSamzjoFHlMHJiSNKlQOwep1ydzii/y05x16iMOneYhsSzCdAZrBKGe
kJt+SuolfNHewMlZVRYpY1ISYQZPxGSUwRbKPeq8HtU2l63dH5xyoYRJOeo/sq7DoANS494ml++R
Ji9+Fb1pAn4M4+Qr9D5Azktuh6RNcRmjQqeOw33LWCjBq8PLST0mIm+EeY83i42PLcfIAIp32ZLJ
zENiLt5rH1MA8l4dkpxgg+ne8JhMA6Rba7oCmYwIC3K5MMMYwOHwzA8UoaA2uvYpGOTHcs5qSK3M
x0J5znBQ5zwHlINkOxjBmvPQZSmZD9M5/gF7rLyU51QIs1/E52yNishwAuDz7caBlaDZUHmkcbf3
VI3wTtpkTVipw2M5XCMoZokLs5eSXIreHh8GD4gJmDlGEQYYxI0vHfcLazlSLehJk3fApytEc029
8M8BGOcsDHXOxbDPGRnOOS9jgM+DZbVt2jeuzTNzqc3g9ZyTNgjMI3XDYKwzbK1uTeMgn5uYyB7G
iffFXeqlPNlreEceKDt7DzNlQdaUlVY8/BmzeHNYXmtW0YdiDQJpz5kgPopvF/cO02HWWUF+t6zP
6Slow299Rcwy/oDvOXJve1M6Wfxum6SPUE0icWCRn7zVazpJzGHwiqB3OikIM8diTTGJz4EmOZrb
e0HURR5pu0wjK/far//F3Zkst20EYfhVVLqThY0AcbCrIsWLZGuJZDnRiQVRiAhuIEGC29vk6HMe
QS+WrwegAnBRpIwrRgWVQxJSTcxgpqfR/ff/t3glWkJ404MzszWYRFRhk8gmuh+5tw2rNjsfKSEV
pLQg7GspgRUvJiUDDWM8uhPvfTJGCfMGWZDa3YwO5Iu5NyZ/tVCKLYOe2/1tMEn8Gk69i6aLBzDp
oomcSTiFX5gGanzELxE4+6OWM5vfoP+LOgzM5KIUo1RjhkpBpiNiMo7SlTGUxsy8JvI45tyqkdMi
HbkiJELQmG5lQsxJE3XcdzSGtC6m1nKwPPejdEVTWtoiReooLTjiVUghRSDOEqk4BLkeLrsiH5fS
iU5iWTTlolxfTrTmFiI7t0xEgQ7kJeps9Om+4y0TsQQDqj46IlGt6xOpfh5D3EuxfNSjO78FPJUT
5s5Kk957kw5vd5ASdosk3jJCHO8Blbyhs2oTyLmfuyKgh145WnruZDC6SGb0/3mzxD83lOpeD/29
hQjxwajZ/TQWcb5FE5k+mlBowzNFvA8lo9E9WKwjdxLfwotPMghYKSy/PfoLfRK/73siBdgUUUCH
3tw2wRZDqKFc0TweDezu197AGdAOL7KCEHR1z1EcWd01RXTQU/qDyHdEF7VEVAlrw7Exuo7RKvSo
u5+yW3rns+7MvRmPay3olGk9JWM4+eTZSvJwAIfP6KM9bXXgT0y84+mkeTZVOokpXe0oSCIdmlLb
Op6P0ouHibG6HYnE4rJnzGjKMVbvGyPnyhIhxhVJuu4Sp0nC6OFDUuvfItDSO4UtaYYiGlKOZpzc
AEaDKo0G2KOpvVicJnRSHEUd/gzUCRFO3EzD/sz/GotUZItYmUc6EgHJZW165YqoZA2Kp3AwQ492
bCA5aUOAe7UUGcqWCFI2RtP4hCDUI0Q0h9dRIsqVrQYilpHIWdooJ/+a2ABLfZr+CO4AmZCPQGwd
gnw4G+c1+6zRcvk3kcucj+fJyVwkNAFqw/EGlki0NR2ls9kygEos54NJewoZPh2KvLOdr9wu7hMy
t841POV0R50lvpLwhB5leKnyAf+bhFmhGWmrxeipKCUVtEtyzNMvwipVblJ60ZfW1a3dhl7Ws2QC
LQULWkrBqZtSHVPP2egH3HN6H745tCjsGQ0wrdTusuvwoB8PWVTq45ppmHVqxHQ0ieAaP1WYnn0T
8PzYtju5tu2U7r0dp8OpdIA9RPGwmE0EzPCy0W9YKIzervsonWRVy/KwLYSsfc+AnekHDTu4HwAa
IrmdRO1pcdjobW92qr32qZtuXZidyK+CDpOLZ1scvk+OFfIj3jwRLZAry/T+989+7yQIloBystba
l+ZXpAgQdyB+VVd5FppN0skAUz04bdSVbbYKzYLnZ5syq5Q/+ZLX7H+rTl8wjb+kt9W1sRIYPs3D
pq/w5fIFKu8/xAvsXQlNm95kV9cPok7vAVKgCuztnAd6qA0POP96wxhUHao1D4DFSaxrbQjbqAvc
2aDysnNDmDQ7ALR32XvVG74DY7fm+HGLpHwoOKGMkl1lh+DjNhEmtVBbyxZJ9WYBV6Y5CVaDM7EJ
RMzmdC0eCqaJr6DAbrFGqrf4aT/RHLgQHhiu4dJLUx647xEjGUjiCm+0XJV77HA+6R4EOMCmY9Dq
YO5xgIacA8RDfEtdlQsJPPIYmkvAApYGJA0BHXBr6iqvBDkNDcga6VCp3Bqgwew77ADTAReKf9sz
fOJleeugslw1D0Brg+7wLbYA3UcUqzefOn7fhV1VcTNU69QHXal76ltO3YeuwjSkwazk8A0+ASUM
8jPb85WL/QBlCDJEK+gBigoqQZ57vuY3ZoHIz7eALHPyZY6vcjvfhHFJN/4lD0AHa4OjHR9aXAQg
cYC/MM0sj+yq2s43G3ZDN/Jj+I2mwQQoIUCeM0u9OAvExKKASp9vnnOo0EsgL0CuK+KqetsAkqgG
OSCbltP1cy7OANvApdZLuiT/PDtrKzQP0O/6usEvMSAvgUT44laKw5c8GAB43gGlM7VaZwDAElt7
AzA8wzE90G47Hz+Rn8SHPpmA6gX/vLLpngK89RBES6tC+bmL90dynSWRR4RZkFGhZQ/QcUsh57X5
QDCV0Mk7rmsTTJSXPecCjf28+Vduv5MClLylltfD79PczeLeE/Dz+Ol5aRIa5NuicpufzJ28qOvO
An4NwBDMxeracH4kQgmBoLLw1jFS1VwgnUT6LoBoVxDHFsNU11YM4BEjoWTe8CrnAqGH087+WZzw
tOfRCr4RAcMsIrx2JAfgKanY2berte213o83AAJoOmMFOS7XxoOnGgLBLPkfG9S5uqo3C6TwdZ2A
U7c8xwPqXj4CBIrvmcDJ1wXC6q0BITXVHD2BnwMDCbs7L4RsuEBmAXpGaECs3EVWbxZ2NGS8eifw
EuBbokqTv+tu7gQSIaQICRPyJGDlgoJdPJ6vnQXLrjMH5AGFsakcDVnkCmDFJQ1eNRcgiRr9PWBJ
AQyM+W4/6FMP9SFpkXhIrlfUQ18QMD/hJuB67N8rWEUUwu8Trtlf//ELa+DBtoEcUHBy/+ZQUAOl
L0qjU2Y6VFAO+e+3pXKjAj0UPlyDINTv5H+eD3D7p0u/tR7V+n9+jOiSStqdpfpgmd+mEKu9Ofzp
IaUpO+jDKTgNJ0UEgCr7/n0/bw5Ld1tYBc+ZPwq6wcEx5n+Pk2EUFO1npcTv/AMH12my8SOcNLo/
chwMRmG7E64tyRPOqiHaljtRAHFK0XCGvPgOhjtpwD8l0yp9rW06xm7UL1nOyiL6lvvRoGxX1Rt0
7T5PbP60H//dEv85TQJaE4rznOXLde/6QxoMg24aTEu2czyWvvEwScKkbDpLdOua/hjdB/3yhOTJ
Y13LpziSDQaJPC+ra/k8WAZJNC0+xDzhpW05DWfxwefw8c8SrIwMmLxL6lq/CBZQhq/tiF+yMoiC
ruHLNLwrb3HLVdVvXcNy1D5+mwblpZenWfSNg5Zk1xxcxaWVnQO5dM2/RAZa05tc7xd11LW8l39U
0/AzvC7algdB2o82DkiKB/Ieqvswv/SDBYFPafMA05SXPF3Tz3Wla07JbYpCwOMfJV+SZ+d07/pZ
8QHN2z6L2p04aG/ceF5M0b3xszgJ+3EpiHrC62nbfvwmoijrNSEe9qkU9rztXbH6E7J5O4JfI5Z3
/Vn59US+0e6HQfL2LwAAAP//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783646</xdr:colOff>
      <xdr:row>3</xdr:row>
      <xdr:rowOff>109103</xdr:rowOff>
    </xdr:from>
    <xdr:to>
      <xdr:col>11</xdr:col>
      <xdr:colOff>60612</xdr:colOff>
      <xdr:row>26</xdr:row>
      <xdr:rowOff>60612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67B37CF-E568-E351-8024-446D06D651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41691" y="654626"/>
              <a:ext cx="7477126" cy="4133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272761</xdr:colOff>
      <xdr:row>7</xdr:row>
      <xdr:rowOff>109104</xdr:rowOff>
    </xdr:from>
    <xdr:to>
      <xdr:col>10</xdr:col>
      <xdr:colOff>406977</xdr:colOff>
      <xdr:row>30</xdr:row>
      <xdr:rowOff>25976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69FE34F4-6EF7-4091-3C4B-1FC6D11512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30806" y="1381990"/>
              <a:ext cx="7728239" cy="40992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563B9-D9D1-4C4D-99C6-96226877FE7E}">
  <dimension ref="A1:K30"/>
  <sheetViews>
    <sheetView workbookViewId="0">
      <selection activeCell="I3" sqref="I3"/>
    </sheetView>
  </sheetViews>
  <sheetFormatPr defaultRowHeight="14.4" x14ac:dyDescent="0.3"/>
  <cols>
    <col min="6" max="6" width="13.88671875" customWidth="1"/>
    <col min="7" max="7" width="13.21875" customWidth="1"/>
    <col min="10" max="10" width="17.88671875" customWidth="1"/>
  </cols>
  <sheetData>
    <row r="1" spans="1:11" x14ac:dyDescent="0.3">
      <c r="A1" s="34" t="s">
        <v>20</v>
      </c>
      <c r="B1" s="31" t="s">
        <v>0</v>
      </c>
      <c r="C1" s="31"/>
      <c r="D1" s="31"/>
      <c r="E1" s="31"/>
      <c r="F1" s="31" t="s">
        <v>8</v>
      </c>
      <c r="G1" s="31"/>
      <c r="H1" s="31"/>
      <c r="I1" s="31"/>
      <c r="J1" s="32" t="s">
        <v>7</v>
      </c>
    </row>
    <row r="2" spans="1:11" x14ac:dyDescent="0.3">
      <c r="A2" s="34"/>
      <c r="B2" s="4" t="s">
        <v>2</v>
      </c>
      <c r="C2" s="4" t="s">
        <v>3</v>
      </c>
      <c r="D2" s="4" t="s">
        <v>1</v>
      </c>
      <c r="E2" s="4" t="s">
        <v>4</v>
      </c>
      <c r="F2" s="4" t="s">
        <v>5</v>
      </c>
      <c r="G2" s="4" t="s">
        <v>6</v>
      </c>
      <c r="H2" s="4" t="s">
        <v>1</v>
      </c>
      <c r="I2" s="4" t="s">
        <v>4</v>
      </c>
      <c r="J2" s="33"/>
      <c r="K2" s="1"/>
    </row>
    <row r="3" spans="1:11" x14ac:dyDescent="0.3">
      <c r="A3" s="2">
        <v>2014</v>
      </c>
      <c r="B3" s="3" t="s">
        <v>9</v>
      </c>
      <c r="C3" s="3" t="s">
        <v>10</v>
      </c>
      <c r="D3" s="3" t="s">
        <v>11</v>
      </c>
      <c r="E3" s="3">
        <v>57.98</v>
      </c>
      <c r="F3" s="3" t="s">
        <v>12</v>
      </c>
      <c r="G3" s="3" t="s">
        <v>13</v>
      </c>
      <c r="H3" s="3" t="s">
        <v>14</v>
      </c>
      <c r="I3" s="3">
        <v>42.02</v>
      </c>
      <c r="J3" s="8">
        <v>58055</v>
      </c>
      <c r="K3" s="1"/>
    </row>
    <row r="4" spans="1:11" x14ac:dyDescent="0.3">
      <c r="A4" s="2">
        <f>A3+1</f>
        <v>2015</v>
      </c>
      <c r="B4" s="8">
        <v>14695</v>
      </c>
      <c r="C4" s="3" t="s">
        <v>15</v>
      </c>
      <c r="D4" s="3" t="s">
        <v>16</v>
      </c>
      <c r="E4" s="3">
        <v>57.73</v>
      </c>
      <c r="F4" s="3" t="s">
        <v>17</v>
      </c>
      <c r="G4" s="3" t="s">
        <v>18</v>
      </c>
      <c r="H4" s="3" t="s">
        <v>19</v>
      </c>
      <c r="I4" s="3">
        <v>42.27</v>
      </c>
      <c r="J4" s="8">
        <v>60162</v>
      </c>
      <c r="K4" s="1"/>
    </row>
    <row r="5" spans="1:11" x14ac:dyDescent="0.3">
      <c r="A5" s="2">
        <f t="shared" ref="A5:A15" si="0">A4+1</f>
        <v>2016</v>
      </c>
      <c r="B5" s="8">
        <v>14167</v>
      </c>
      <c r="C5" s="3" t="s">
        <v>21</v>
      </c>
      <c r="D5" s="3" t="s">
        <v>22</v>
      </c>
      <c r="E5" s="3">
        <v>56.75</v>
      </c>
      <c r="F5" s="3" t="s">
        <v>23</v>
      </c>
      <c r="G5" s="3" t="s">
        <v>24</v>
      </c>
      <c r="H5" s="3" t="s">
        <v>25</v>
      </c>
      <c r="I5" s="3">
        <v>43.25</v>
      </c>
      <c r="J5" s="8">
        <v>64529</v>
      </c>
      <c r="K5" s="1"/>
    </row>
    <row r="6" spans="1:11" x14ac:dyDescent="0.3">
      <c r="A6" s="2">
        <f t="shared" si="0"/>
        <v>2017</v>
      </c>
      <c r="B6" s="8">
        <v>14753</v>
      </c>
      <c r="C6" s="3" t="s">
        <v>26</v>
      </c>
      <c r="D6" s="3" t="s">
        <v>27</v>
      </c>
      <c r="E6" s="3">
        <v>55.96</v>
      </c>
      <c r="F6" s="3" t="s">
        <v>28</v>
      </c>
      <c r="G6" s="3" t="s">
        <v>29</v>
      </c>
      <c r="H6" s="3" t="s">
        <v>30</v>
      </c>
      <c r="I6" s="3">
        <v>44.04</v>
      </c>
      <c r="J6" s="8">
        <v>69151</v>
      </c>
      <c r="K6" s="1"/>
    </row>
    <row r="7" spans="1:11" x14ac:dyDescent="0.3">
      <c r="A7" s="2">
        <f t="shared" si="0"/>
        <v>2018</v>
      </c>
      <c r="B7" s="8">
        <v>15846</v>
      </c>
      <c r="C7" s="3" t="s">
        <v>31</v>
      </c>
      <c r="D7" s="3" t="s">
        <v>32</v>
      </c>
      <c r="E7" s="3">
        <v>55.38</v>
      </c>
      <c r="F7" s="3" t="s">
        <v>33</v>
      </c>
      <c r="G7" s="3" t="s">
        <v>34</v>
      </c>
      <c r="H7" s="3" t="s">
        <v>35</v>
      </c>
      <c r="I7" s="3">
        <v>44.62</v>
      </c>
      <c r="J7" s="8">
        <v>74543</v>
      </c>
      <c r="K7" s="1"/>
    </row>
    <row r="8" spans="1:11" x14ac:dyDescent="0.3">
      <c r="A8" s="2">
        <f t="shared" si="0"/>
        <v>2019</v>
      </c>
      <c r="B8" s="8">
        <v>15267</v>
      </c>
      <c r="C8" s="3" t="s">
        <v>36</v>
      </c>
      <c r="D8" s="3" t="s">
        <v>37</v>
      </c>
      <c r="E8" s="3">
        <v>54.46</v>
      </c>
      <c r="F8" s="3" t="s">
        <v>38</v>
      </c>
      <c r="G8" s="3" t="s">
        <v>39</v>
      </c>
      <c r="H8" s="3" t="s">
        <v>40</v>
      </c>
      <c r="I8" s="3">
        <v>45.54</v>
      </c>
      <c r="J8" s="8">
        <v>71488</v>
      </c>
      <c r="K8" s="1"/>
    </row>
    <row r="9" spans="1:11" x14ac:dyDescent="0.3">
      <c r="A9" s="2">
        <f t="shared" si="0"/>
        <v>2020</v>
      </c>
      <c r="B9" s="8">
        <v>15953</v>
      </c>
      <c r="C9" s="3" t="s">
        <v>41</v>
      </c>
      <c r="D9" s="3" t="s">
        <v>42</v>
      </c>
      <c r="E9" s="3">
        <v>54.44</v>
      </c>
      <c r="F9" s="3" t="s">
        <v>43</v>
      </c>
      <c r="G9" s="3" t="s">
        <v>44</v>
      </c>
      <c r="H9" s="3" t="s">
        <v>45</v>
      </c>
      <c r="I9" s="3">
        <v>45.56</v>
      </c>
      <c r="J9" s="8">
        <v>77035</v>
      </c>
      <c r="K9" s="1"/>
    </row>
    <row r="10" spans="1:11" x14ac:dyDescent="0.3">
      <c r="A10" s="2">
        <f t="shared" si="0"/>
        <v>2021</v>
      </c>
      <c r="B10" s="8">
        <v>13030</v>
      </c>
      <c r="C10" s="3" t="s">
        <v>46</v>
      </c>
      <c r="D10" s="3" t="s">
        <v>47</v>
      </c>
      <c r="E10" s="3">
        <v>50.45</v>
      </c>
      <c r="F10" s="3" t="s">
        <v>48</v>
      </c>
      <c r="G10" s="3" t="s">
        <v>49</v>
      </c>
      <c r="H10" s="3" t="s">
        <v>50</v>
      </c>
      <c r="I10" s="3">
        <v>49.55</v>
      </c>
      <c r="J10" s="8">
        <v>67349</v>
      </c>
      <c r="K10" s="1"/>
    </row>
    <row r="11" spans="1:11" x14ac:dyDescent="0.3">
      <c r="A11" s="2">
        <f t="shared" si="0"/>
        <v>2022</v>
      </c>
      <c r="B11" s="3" t="s">
        <v>51</v>
      </c>
      <c r="C11" s="3" t="s">
        <v>52</v>
      </c>
      <c r="D11" s="3" t="s">
        <v>53</v>
      </c>
      <c r="E11" s="3">
        <v>48.19</v>
      </c>
      <c r="F11" s="3" t="s">
        <v>54</v>
      </c>
      <c r="G11" s="3" t="s">
        <v>55</v>
      </c>
      <c r="H11" s="3" t="s">
        <v>56</v>
      </c>
      <c r="I11" s="3">
        <v>51.81</v>
      </c>
      <c r="J11" s="8">
        <v>70023</v>
      </c>
      <c r="K11" s="1"/>
    </row>
    <row r="12" spans="1:11" x14ac:dyDescent="0.3">
      <c r="A12" s="2">
        <f t="shared" si="0"/>
        <v>2023</v>
      </c>
      <c r="B12" s="8">
        <v>14663</v>
      </c>
      <c r="C12" s="3" t="s">
        <v>57</v>
      </c>
      <c r="D12" s="3" t="s">
        <v>58</v>
      </c>
      <c r="E12" s="3">
        <v>46.44</v>
      </c>
      <c r="F12" s="3" t="s">
        <v>59</v>
      </c>
      <c r="G12" s="3" t="s">
        <v>60</v>
      </c>
      <c r="H12" s="3" t="s">
        <v>61</v>
      </c>
      <c r="I12" s="3">
        <v>53.56</v>
      </c>
      <c r="J12" s="8">
        <v>77687</v>
      </c>
      <c r="K12" s="1"/>
    </row>
    <row r="13" spans="1:11" x14ac:dyDescent="0.3">
      <c r="A13" s="2">
        <f t="shared" si="0"/>
        <v>2024</v>
      </c>
      <c r="B13" s="8">
        <v>16554</v>
      </c>
      <c r="C13" s="3" t="s">
        <v>62</v>
      </c>
      <c r="D13" s="3" t="s">
        <v>63</v>
      </c>
      <c r="E13" s="3">
        <v>45.14</v>
      </c>
      <c r="F13" s="3" t="s">
        <v>64</v>
      </c>
      <c r="G13" s="3" t="s">
        <v>65</v>
      </c>
      <c r="H13" s="3" t="s">
        <v>66</v>
      </c>
      <c r="I13" s="3">
        <v>54.86</v>
      </c>
      <c r="J13" s="8">
        <v>83704</v>
      </c>
      <c r="K13" s="1"/>
    </row>
    <row r="14" spans="1:11" x14ac:dyDescent="0.3">
      <c r="A14" s="10">
        <f>A13+1</f>
        <v>2025</v>
      </c>
      <c r="B14" s="12">
        <v>17019</v>
      </c>
      <c r="C14" s="11" t="s">
        <v>67</v>
      </c>
      <c r="D14" s="11" t="s">
        <v>68</v>
      </c>
      <c r="E14" s="11">
        <v>43.84</v>
      </c>
      <c r="F14" s="11" t="s">
        <v>69</v>
      </c>
      <c r="G14" s="11" t="s">
        <v>70</v>
      </c>
      <c r="H14" s="11" t="s">
        <v>71</v>
      </c>
      <c r="I14" s="11">
        <v>56.16</v>
      </c>
      <c r="J14" s="12">
        <v>83490</v>
      </c>
      <c r="K14" s="1"/>
    </row>
    <row r="15" spans="1:11" x14ac:dyDescent="0.3">
      <c r="A15" s="2">
        <f t="shared" si="0"/>
        <v>2026</v>
      </c>
      <c r="B15" s="8">
        <v>17107</v>
      </c>
      <c r="C15" s="3" t="s">
        <v>72</v>
      </c>
      <c r="D15" s="3" t="s">
        <v>73</v>
      </c>
      <c r="E15" s="3">
        <v>43.22</v>
      </c>
      <c r="F15" s="3" t="s">
        <v>74</v>
      </c>
      <c r="G15" s="3" t="s">
        <v>75</v>
      </c>
      <c r="H15" s="3" t="s">
        <v>76</v>
      </c>
      <c r="I15" s="3">
        <v>56.78</v>
      </c>
      <c r="J15" s="8">
        <v>84550</v>
      </c>
      <c r="K15" s="1"/>
    </row>
    <row r="16" spans="1:11" x14ac:dyDescent="0.3"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3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3">
      <c r="A18" s="2">
        <v>2014</v>
      </c>
      <c r="B18" s="3" t="s">
        <v>11</v>
      </c>
      <c r="C18" s="3" t="s">
        <v>14</v>
      </c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2">
        <f>A18+1</f>
        <v>2015</v>
      </c>
      <c r="B19" s="3" t="s">
        <v>16</v>
      </c>
      <c r="C19" s="3" t="s">
        <v>19</v>
      </c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2">
        <f t="shared" ref="A20:A30" si="1">A19+1</f>
        <v>2016</v>
      </c>
      <c r="B20" s="3" t="s">
        <v>22</v>
      </c>
      <c r="C20" s="3" t="s">
        <v>25</v>
      </c>
      <c r="D20" s="1"/>
      <c r="E20" s="1"/>
      <c r="F20" s="1"/>
      <c r="G20" s="1"/>
      <c r="H20" s="1"/>
      <c r="I20" s="1"/>
      <c r="J20" s="1"/>
      <c r="K20" s="1"/>
    </row>
    <row r="21" spans="1:11" x14ac:dyDescent="0.3">
      <c r="A21" s="2">
        <f t="shared" si="1"/>
        <v>2017</v>
      </c>
      <c r="B21" s="3" t="s">
        <v>27</v>
      </c>
      <c r="C21" s="3" t="s">
        <v>30</v>
      </c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2">
        <f t="shared" si="1"/>
        <v>2018</v>
      </c>
      <c r="B22" s="3" t="s">
        <v>32</v>
      </c>
      <c r="C22" s="3" t="s">
        <v>35</v>
      </c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2">
        <f t="shared" si="1"/>
        <v>2019</v>
      </c>
      <c r="B23" s="3" t="s">
        <v>37</v>
      </c>
      <c r="C23" s="3" t="s">
        <v>40</v>
      </c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2">
        <f t="shared" si="1"/>
        <v>2020</v>
      </c>
      <c r="B24" s="3" t="s">
        <v>42</v>
      </c>
      <c r="C24" s="3" t="s">
        <v>45</v>
      </c>
      <c r="D24" s="1"/>
      <c r="E24" s="1"/>
      <c r="F24" s="1"/>
      <c r="G24" s="1"/>
      <c r="H24" s="1"/>
      <c r="I24" s="1"/>
      <c r="J24" s="1"/>
      <c r="K24" s="1"/>
    </row>
    <row r="25" spans="1:11" x14ac:dyDescent="0.3">
      <c r="A25" s="2">
        <f t="shared" si="1"/>
        <v>2021</v>
      </c>
      <c r="B25" s="3" t="s">
        <v>47</v>
      </c>
      <c r="C25" s="3" t="s">
        <v>50</v>
      </c>
    </row>
    <row r="26" spans="1:11" x14ac:dyDescent="0.3">
      <c r="A26" s="2">
        <f t="shared" si="1"/>
        <v>2022</v>
      </c>
      <c r="B26" s="3" t="s">
        <v>53</v>
      </c>
      <c r="C26" s="3" t="s">
        <v>56</v>
      </c>
    </row>
    <row r="27" spans="1:11" x14ac:dyDescent="0.3">
      <c r="A27" s="2">
        <f t="shared" si="1"/>
        <v>2023</v>
      </c>
      <c r="B27" s="3" t="s">
        <v>58</v>
      </c>
      <c r="C27" s="3" t="s">
        <v>61</v>
      </c>
    </row>
    <row r="28" spans="1:11" x14ac:dyDescent="0.3">
      <c r="A28" s="2">
        <f t="shared" si="1"/>
        <v>2024</v>
      </c>
      <c r="B28" s="3" t="s">
        <v>63</v>
      </c>
      <c r="C28" s="3" t="s">
        <v>66</v>
      </c>
    </row>
    <row r="29" spans="1:11" x14ac:dyDescent="0.3">
      <c r="A29" s="10">
        <f>A28+1</f>
        <v>2025</v>
      </c>
      <c r="B29" s="11" t="s">
        <v>68</v>
      </c>
      <c r="C29" s="11" t="s">
        <v>71</v>
      </c>
    </row>
    <row r="30" spans="1:11" x14ac:dyDescent="0.3">
      <c r="A30" s="2">
        <f t="shared" si="1"/>
        <v>2026</v>
      </c>
      <c r="B30" s="3" t="s">
        <v>73</v>
      </c>
      <c r="C30" s="3" t="s">
        <v>76</v>
      </c>
    </row>
  </sheetData>
  <mergeCells count="4">
    <mergeCell ref="B1:E1"/>
    <mergeCell ref="F1:I1"/>
    <mergeCell ref="J1:J2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97091-BA34-416F-9AC2-3D70063569D2}">
  <dimension ref="A1:M50"/>
  <sheetViews>
    <sheetView tabSelected="1" zoomScale="88" workbookViewId="0">
      <selection activeCell="B10" sqref="B10"/>
    </sheetView>
  </sheetViews>
  <sheetFormatPr defaultRowHeight="14.4" x14ac:dyDescent="0.3"/>
  <cols>
    <col min="1" max="2" width="27.44140625" customWidth="1"/>
    <col min="3" max="3" width="19.33203125" customWidth="1"/>
    <col min="4" max="4" width="19.5546875" customWidth="1"/>
    <col min="5" max="5" width="13.109375" customWidth="1"/>
    <col min="6" max="7" width="13.21875" customWidth="1"/>
    <col min="8" max="8" width="14.5546875" customWidth="1"/>
  </cols>
  <sheetData>
    <row r="1" spans="1:13" x14ac:dyDescent="0.3">
      <c r="A1" t="s">
        <v>186</v>
      </c>
      <c r="B1" t="s">
        <v>246</v>
      </c>
      <c r="C1" t="s">
        <v>243</v>
      </c>
      <c r="D1" t="s">
        <v>244</v>
      </c>
      <c r="E1" t="s">
        <v>235</v>
      </c>
      <c r="F1" t="s">
        <v>236</v>
      </c>
      <c r="G1" t="s">
        <v>238</v>
      </c>
      <c r="H1" t="s">
        <v>239</v>
      </c>
      <c r="J1" s="53" t="s">
        <v>245</v>
      </c>
      <c r="K1" s="54">
        <v>39.200000000000003</v>
      </c>
      <c r="L1" s="53">
        <f>K1/100</f>
        <v>0.39200000000000002</v>
      </c>
    </row>
    <row r="2" spans="1:13" x14ac:dyDescent="0.3">
      <c r="A2" t="s">
        <v>187</v>
      </c>
      <c r="B2">
        <f>C2+D2</f>
        <v>1125</v>
      </c>
      <c r="C2">
        <v>304</v>
      </c>
      <c r="D2">
        <v>821</v>
      </c>
      <c r="E2">
        <v>55.7</v>
      </c>
      <c r="F2">
        <v>67.2</v>
      </c>
      <c r="G2">
        <f>E2*10000</f>
        <v>557000</v>
      </c>
      <c r="H2">
        <f>F2*10000</f>
        <v>672000</v>
      </c>
      <c r="I2">
        <f>E2/100</f>
        <v>0.55700000000000005</v>
      </c>
      <c r="M2">
        <f>I2/L1*1000000</f>
        <v>1420918.3673469387</v>
      </c>
    </row>
    <row r="3" spans="1:13" x14ac:dyDescent="0.3">
      <c r="A3" t="s">
        <v>188</v>
      </c>
      <c r="B3">
        <f t="shared" ref="B3:B50" si="0">C3+D3</f>
        <v>1301</v>
      </c>
      <c r="C3">
        <v>925</v>
      </c>
      <c r="D3">
        <v>376</v>
      </c>
      <c r="E3">
        <v>57.2</v>
      </c>
      <c r="F3">
        <v>68.7</v>
      </c>
      <c r="G3">
        <f>E3*10000</f>
        <v>572000</v>
      </c>
      <c r="H3">
        <f t="shared" ref="H3:H14" si="1">F3*10000</f>
        <v>687000</v>
      </c>
    </row>
    <row r="4" spans="1:13" x14ac:dyDescent="0.3">
      <c r="A4" t="s">
        <v>189</v>
      </c>
      <c r="B4">
        <f t="shared" si="0"/>
        <v>383</v>
      </c>
      <c r="C4">
        <v>210</v>
      </c>
      <c r="D4">
        <v>173</v>
      </c>
      <c r="E4">
        <v>52.1</v>
      </c>
      <c r="F4">
        <v>61.6</v>
      </c>
      <c r="G4">
        <f t="shared" ref="G4:G14" si="2">E4*10000</f>
        <v>521000</v>
      </c>
      <c r="H4">
        <f t="shared" si="1"/>
        <v>616000</v>
      </c>
    </row>
    <row r="5" spans="1:13" x14ac:dyDescent="0.3">
      <c r="A5" t="s">
        <v>190</v>
      </c>
      <c r="B5">
        <f t="shared" si="0"/>
        <v>285</v>
      </c>
      <c r="C5">
        <v>166</v>
      </c>
      <c r="D5">
        <v>119</v>
      </c>
      <c r="E5">
        <v>32.200000000000003</v>
      </c>
      <c r="F5">
        <v>40</v>
      </c>
      <c r="G5">
        <f t="shared" si="2"/>
        <v>322000</v>
      </c>
      <c r="H5">
        <f t="shared" si="1"/>
        <v>400000</v>
      </c>
    </row>
    <row r="6" spans="1:13" x14ac:dyDescent="0.3">
      <c r="A6" t="s">
        <v>191</v>
      </c>
      <c r="B6">
        <f t="shared" si="0"/>
        <v>1427</v>
      </c>
      <c r="C6" s="7">
        <v>1088</v>
      </c>
      <c r="D6">
        <v>339</v>
      </c>
      <c r="E6">
        <v>72</v>
      </c>
      <c r="F6">
        <v>82.1</v>
      </c>
      <c r="G6">
        <f t="shared" si="2"/>
        <v>720000</v>
      </c>
      <c r="H6">
        <f t="shared" si="1"/>
        <v>821000</v>
      </c>
    </row>
    <row r="7" spans="1:13" x14ac:dyDescent="0.3">
      <c r="A7" t="s">
        <v>192</v>
      </c>
      <c r="B7">
        <f t="shared" si="0"/>
        <v>537</v>
      </c>
      <c r="C7">
        <v>227</v>
      </c>
      <c r="D7">
        <v>310</v>
      </c>
      <c r="E7">
        <v>47.4</v>
      </c>
      <c r="F7">
        <v>59.8</v>
      </c>
      <c r="G7">
        <f t="shared" si="2"/>
        <v>474000</v>
      </c>
      <c r="H7">
        <f t="shared" si="1"/>
        <v>598000</v>
      </c>
    </row>
    <row r="8" spans="1:13" x14ac:dyDescent="0.3">
      <c r="A8" t="s">
        <v>193</v>
      </c>
      <c r="B8">
        <f t="shared" si="0"/>
        <v>979</v>
      </c>
      <c r="C8">
        <v>626</v>
      </c>
      <c r="D8">
        <v>353</v>
      </c>
      <c r="E8">
        <v>12.4</v>
      </c>
      <c r="F8">
        <v>18.2</v>
      </c>
      <c r="G8">
        <f t="shared" si="2"/>
        <v>124000</v>
      </c>
      <c r="H8">
        <f t="shared" si="1"/>
        <v>182000</v>
      </c>
    </row>
    <row r="9" spans="1:13" x14ac:dyDescent="0.3">
      <c r="A9" t="s">
        <v>194</v>
      </c>
      <c r="B9">
        <f t="shared" si="0"/>
        <v>1486</v>
      </c>
      <c r="C9" s="7">
        <v>1005</v>
      </c>
      <c r="D9">
        <v>481</v>
      </c>
      <c r="E9">
        <v>56.9</v>
      </c>
      <c r="F9">
        <v>64.7</v>
      </c>
      <c r="G9">
        <f t="shared" si="2"/>
        <v>569000</v>
      </c>
      <c r="H9">
        <f t="shared" si="1"/>
        <v>647000</v>
      </c>
    </row>
    <row r="10" spans="1:13" x14ac:dyDescent="0.3">
      <c r="A10" t="s">
        <v>195</v>
      </c>
      <c r="B10">
        <f t="shared" si="0"/>
        <v>670</v>
      </c>
      <c r="C10">
        <v>442</v>
      </c>
      <c r="D10">
        <v>228</v>
      </c>
      <c r="E10">
        <v>42.3</v>
      </c>
      <c r="F10">
        <v>54.5</v>
      </c>
      <c r="G10">
        <f t="shared" si="2"/>
        <v>423000</v>
      </c>
      <c r="H10">
        <f t="shared" si="1"/>
        <v>545000</v>
      </c>
    </row>
    <row r="11" spans="1:13" x14ac:dyDescent="0.3">
      <c r="A11" t="s">
        <v>196</v>
      </c>
      <c r="B11">
        <f t="shared" si="0"/>
        <v>2512</v>
      </c>
      <c r="C11" s="7">
        <v>1692</v>
      </c>
      <c r="D11">
        <v>820</v>
      </c>
      <c r="E11">
        <v>35.4</v>
      </c>
      <c r="F11">
        <v>46.3</v>
      </c>
      <c r="G11">
        <f t="shared" si="2"/>
        <v>354000</v>
      </c>
      <c r="H11">
        <f t="shared" si="1"/>
        <v>463000</v>
      </c>
    </row>
    <row r="12" spans="1:13" x14ac:dyDescent="0.3">
      <c r="A12" t="s">
        <v>197</v>
      </c>
      <c r="B12">
        <f t="shared" si="0"/>
        <v>1040</v>
      </c>
      <c r="C12">
        <v>416</v>
      </c>
      <c r="D12">
        <v>624</v>
      </c>
      <c r="E12">
        <v>13.7</v>
      </c>
      <c r="F12">
        <v>19.2</v>
      </c>
      <c r="G12">
        <f t="shared" si="2"/>
        <v>137000</v>
      </c>
      <c r="H12">
        <f t="shared" si="1"/>
        <v>192000</v>
      </c>
    </row>
    <row r="13" spans="1:13" x14ac:dyDescent="0.3">
      <c r="A13" t="s">
        <v>198</v>
      </c>
      <c r="B13">
        <f t="shared" si="0"/>
        <v>1687</v>
      </c>
      <c r="C13" s="7">
        <v>1179</v>
      </c>
      <c r="D13">
        <v>508</v>
      </c>
      <c r="E13">
        <v>23.3</v>
      </c>
      <c r="F13">
        <v>34.6</v>
      </c>
      <c r="G13">
        <f t="shared" si="2"/>
        <v>233000</v>
      </c>
      <c r="H13">
        <f t="shared" si="1"/>
        <v>346000</v>
      </c>
    </row>
    <row r="14" spans="1:13" x14ac:dyDescent="0.3">
      <c r="A14" t="s">
        <v>199</v>
      </c>
      <c r="B14">
        <f t="shared" si="0"/>
        <v>5586</v>
      </c>
      <c r="C14" s="7">
        <v>2642</v>
      </c>
      <c r="D14" s="7">
        <v>2944</v>
      </c>
      <c r="E14">
        <v>52.3</v>
      </c>
      <c r="F14">
        <v>71.099999999999994</v>
      </c>
      <c r="G14">
        <f t="shared" si="2"/>
        <v>523000</v>
      </c>
      <c r="H14">
        <f t="shared" si="1"/>
        <v>711000</v>
      </c>
    </row>
    <row r="15" spans="1:13" x14ac:dyDescent="0.3">
      <c r="A15" t="s">
        <v>200</v>
      </c>
      <c r="B15">
        <f t="shared" si="0"/>
        <v>4956</v>
      </c>
      <c r="C15" s="7">
        <v>3268</v>
      </c>
      <c r="D15" s="7">
        <v>1688</v>
      </c>
      <c r="E15" s="47">
        <v>37.799999999999997</v>
      </c>
      <c r="F15" s="47">
        <v>53.1</v>
      </c>
      <c r="G15" s="47">
        <f>E15*10000</f>
        <v>378000</v>
      </c>
      <c r="H15" s="47">
        <f>F15*10000</f>
        <v>531000</v>
      </c>
    </row>
    <row r="16" spans="1:13" x14ac:dyDescent="0.3">
      <c r="A16" t="s">
        <v>201</v>
      </c>
      <c r="B16">
        <f t="shared" si="0"/>
        <v>3118</v>
      </c>
      <c r="C16" s="7">
        <v>1928</v>
      </c>
      <c r="D16" s="7">
        <v>1190</v>
      </c>
      <c r="E16" s="47"/>
      <c r="F16" s="47"/>
      <c r="G16" s="47"/>
      <c r="H16" s="47"/>
    </row>
    <row r="17" spans="1:8" x14ac:dyDescent="0.3">
      <c r="A17" t="s">
        <v>202</v>
      </c>
      <c r="B17">
        <f t="shared" si="0"/>
        <v>1791</v>
      </c>
      <c r="C17">
        <v>887</v>
      </c>
      <c r="D17">
        <v>904</v>
      </c>
      <c r="E17">
        <v>28.1</v>
      </c>
      <c r="F17">
        <v>40.9</v>
      </c>
      <c r="G17">
        <f>E17*10000</f>
        <v>281000</v>
      </c>
      <c r="H17">
        <f>F17*10000</f>
        <v>409000</v>
      </c>
    </row>
    <row r="18" spans="1:8" x14ac:dyDescent="0.3">
      <c r="A18" t="s">
        <v>203</v>
      </c>
      <c r="B18">
        <f t="shared" si="0"/>
        <v>1548</v>
      </c>
      <c r="C18">
        <v>747</v>
      </c>
      <c r="D18">
        <v>801</v>
      </c>
      <c r="E18">
        <v>32.299999999999997</v>
      </c>
      <c r="F18">
        <v>43.5</v>
      </c>
      <c r="G18">
        <f t="shared" ref="G18:G30" si="3">E18*10000</f>
        <v>323000</v>
      </c>
      <c r="H18">
        <f t="shared" ref="H18:H30" si="4">F18*10000</f>
        <v>435000</v>
      </c>
    </row>
    <row r="19" spans="1:8" x14ac:dyDescent="0.3">
      <c r="A19" t="s">
        <v>204</v>
      </c>
      <c r="B19">
        <f t="shared" si="0"/>
        <v>674</v>
      </c>
      <c r="C19">
        <v>279</v>
      </c>
      <c r="D19">
        <v>395</v>
      </c>
      <c r="E19">
        <v>38.9</v>
      </c>
      <c r="F19">
        <v>48.3</v>
      </c>
      <c r="G19">
        <f t="shared" si="3"/>
        <v>389000</v>
      </c>
      <c r="H19">
        <f t="shared" si="4"/>
        <v>483000</v>
      </c>
    </row>
    <row r="20" spans="1:8" x14ac:dyDescent="0.3">
      <c r="A20" t="s">
        <v>205</v>
      </c>
      <c r="B20">
        <f t="shared" si="0"/>
        <v>2647</v>
      </c>
      <c r="C20" s="7">
        <v>1987</v>
      </c>
      <c r="D20">
        <v>660</v>
      </c>
      <c r="E20">
        <v>66.099999999999994</v>
      </c>
      <c r="F20">
        <v>76.8</v>
      </c>
      <c r="G20">
        <f t="shared" si="3"/>
        <v>661000</v>
      </c>
      <c r="H20">
        <f t="shared" si="4"/>
        <v>768000</v>
      </c>
    </row>
    <row r="21" spans="1:8" x14ac:dyDescent="0.3">
      <c r="A21" t="s">
        <v>206</v>
      </c>
      <c r="B21">
        <f t="shared" si="0"/>
        <v>821</v>
      </c>
      <c r="C21">
        <v>547</v>
      </c>
      <c r="D21">
        <v>274</v>
      </c>
      <c r="E21">
        <v>14.6</v>
      </c>
      <c r="F21">
        <v>20.100000000000001</v>
      </c>
      <c r="G21">
        <f t="shared" si="3"/>
        <v>146000</v>
      </c>
      <c r="H21">
        <f t="shared" si="4"/>
        <v>201000</v>
      </c>
    </row>
    <row r="22" spans="1:8" x14ac:dyDescent="0.3">
      <c r="A22" t="s">
        <v>207</v>
      </c>
      <c r="B22">
        <f t="shared" si="0"/>
        <v>2791</v>
      </c>
      <c r="C22" s="7">
        <v>2005</v>
      </c>
      <c r="D22">
        <v>786</v>
      </c>
      <c r="E22">
        <v>23.5</v>
      </c>
      <c r="F22">
        <v>31.1</v>
      </c>
      <c r="G22">
        <f t="shared" si="3"/>
        <v>235000</v>
      </c>
      <c r="H22">
        <f t="shared" si="4"/>
        <v>311000</v>
      </c>
    </row>
    <row r="23" spans="1:8" x14ac:dyDescent="0.3">
      <c r="A23" t="s">
        <v>208</v>
      </c>
      <c r="B23">
        <f t="shared" si="0"/>
        <v>1607</v>
      </c>
      <c r="C23" s="7">
        <v>1059</v>
      </c>
      <c r="D23">
        <v>548</v>
      </c>
      <c r="E23">
        <v>47</v>
      </c>
      <c r="F23">
        <v>59.9</v>
      </c>
      <c r="G23">
        <f t="shared" si="3"/>
        <v>470000</v>
      </c>
      <c r="H23">
        <f t="shared" si="4"/>
        <v>599000</v>
      </c>
    </row>
    <row r="24" spans="1:8" x14ac:dyDescent="0.3">
      <c r="A24" t="s">
        <v>209</v>
      </c>
      <c r="B24">
        <f t="shared" si="0"/>
        <v>529</v>
      </c>
      <c r="C24">
        <v>370</v>
      </c>
      <c r="D24">
        <v>159</v>
      </c>
      <c r="E24">
        <v>49.8</v>
      </c>
      <c r="F24">
        <v>60.6</v>
      </c>
      <c r="G24">
        <f t="shared" si="3"/>
        <v>498000</v>
      </c>
      <c r="H24">
        <f t="shared" si="4"/>
        <v>606000</v>
      </c>
    </row>
    <row r="25" spans="1:8" x14ac:dyDescent="0.3">
      <c r="A25" t="s">
        <v>210</v>
      </c>
      <c r="B25">
        <f t="shared" si="0"/>
        <v>1283</v>
      </c>
      <c r="C25">
        <v>564</v>
      </c>
      <c r="D25">
        <v>719</v>
      </c>
      <c r="E25">
        <v>36.9</v>
      </c>
      <c r="F25">
        <v>48</v>
      </c>
      <c r="G25">
        <f t="shared" si="3"/>
        <v>369000</v>
      </c>
      <c r="H25">
        <f t="shared" si="4"/>
        <v>480000</v>
      </c>
    </row>
    <row r="26" spans="1:8" x14ac:dyDescent="0.3">
      <c r="A26" t="s">
        <v>211</v>
      </c>
      <c r="B26">
        <f t="shared" si="0"/>
        <v>991</v>
      </c>
      <c r="C26">
        <v>336</v>
      </c>
      <c r="D26">
        <v>655</v>
      </c>
      <c r="E26">
        <v>50.2</v>
      </c>
      <c r="F26">
        <v>62</v>
      </c>
      <c r="G26">
        <f t="shared" si="3"/>
        <v>502000</v>
      </c>
      <c r="H26">
        <f t="shared" si="4"/>
        <v>620000</v>
      </c>
    </row>
    <row r="27" spans="1:8" x14ac:dyDescent="0.3">
      <c r="A27" t="s">
        <v>212</v>
      </c>
      <c r="B27">
        <f t="shared" si="0"/>
        <v>777</v>
      </c>
      <c r="C27">
        <v>301</v>
      </c>
      <c r="D27">
        <v>476</v>
      </c>
      <c r="E27">
        <v>55.4</v>
      </c>
      <c r="F27">
        <v>66</v>
      </c>
      <c r="G27">
        <f t="shared" si="3"/>
        <v>554000</v>
      </c>
      <c r="H27">
        <f t="shared" si="4"/>
        <v>660000</v>
      </c>
    </row>
    <row r="28" spans="1:8" x14ac:dyDescent="0.3">
      <c r="A28" t="s">
        <v>213</v>
      </c>
      <c r="B28">
        <f t="shared" si="0"/>
        <v>667</v>
      </c>
      <c r="C28">
        <v>373</v>
      </c>
      <c r="D28">
        <v>294</v>
      </c>
      <c r="E28">
        <v>19</v>
      </c>
      <c r="F28">
        <v>30.3</v>
      </c>
      <c r="G28">
        <f t="shared" si="3"/>
        <v>190000</v>
      </c>
      <c r="H28">
        <f t="shared" si="4"/>
        <v>303000</v>
      </c>
    </row>
    <row r="29" spans="1:8" x14ac:dyDescent="0.3">
      <c r="A29" t="s">
        <v>214</v>
      </c>
      <c r="B29">
        <f t="shared" si="0"/>
        <v>1512</v>
      </c>
      <c r="C29">
        <v>822</v>
      </c>
      <c r="D29">
        <v>690</v>
      </c>
      <c r="E29">
        <v>49.3</v>
      </c>
      <c r="F29">
        <v>59.6</v>
      </c>
      <c r="G29">
        <f t="shared" si="3"/>
        <v>493000</v>
      </c>
      <c r="H29">
        <f t="shared" si="4"/>
        <v>596000</v>
      </c>
    </row>
    <row r="30" spans="1:8" x14ac:dyDescent="0.3">
      <c r="A30" t="s">
        <v>215</v>
      </c>
      <c r="B30">
        <f t="shared" si="0"/>
        <v>906</v>
      </c>
      <c r="C30">
        <v>621</v>
      </c>
      <c r="D30">
        <v>285</v>
      </c>
      <c r="E30">
        <v>21.7</v>
      </c>
      <c r="F30">
        <v>33.5</v>
      </c>
      <c r="G30">
        <f t="shared" si="3"/>
        <v>217000</v>
      </c>
      <c r="H30">
        <f t="shared" si="4"/>
        <v>335000</v>
      </c>
    </row>
    <row r="31" spans="1:8" x14ac:dyDescent="0.3">
      <c r="A31" t="s">
        <v>216</v>
      </c>
      <c r="B31">
        <f t="shared" si="0"/>
        <v>1138</v>
      </c>
      <c r="C31">
        <v>883</v>
      </c>
      <c r="D31">
        <v>255</v>
      </c>
      <c r="E31" s="47">
        <v>31.3</v>
      </c>
      <c r="F31" s="47">
        <v>38.9</v>
      </c>
      <c r="G31" s="47">
        <f>E31*10000</f>
        <v>313000</v>
      </c>
      <c r="H31" s="47">
        <f>F31*10000</f>
        <v>389000</v>
      </c>
    </row>
    <row r="32" spans="1:8" x14ac:dyDescent="0.3">
      <c r="A32" t="s">
        <v>217</v>
      </c>
      <c r="B32">
        <f t="shared" si="0"/>
        <v>1338</v>
      </c>
      <c r="C32" s="7">
        <v>1083</v>
      </c>
      <c r="D32">
        <v>255</v>
      </c>
      <c r="E32" s="47"/>
      <c r="F32" s="47"/>
      <c r="G32" s="47"/>
      <c r="H32" s="47"/>
    </row>
    <row r="33" spans="1:8" x14ac:dyDescent="0.3">
      <c r="A33" t="s">
        <v>218</v>
      </c>
      <c r="B33">
        <f t="shared" si="0"/>
        <v>693</v>
      </c>
      <c r="C33">
        <v>499</v>
      </c>
      <c r="D33">
        <v>194</v>
      </c>
      <c r="E33">
        <v>54.2</v>
      </c>
      <c r="F33">
        <v>44.6</v>
      </c>
      <c r="G33">
        <f>E33*10000</f>
        <v>542000</v>
      </c>
      <c r="H33">
        <f>F33*10000</f>
        <v>446000</v>
      </c>
    </row>
    <row r="34" spans="1:8" x14ac:dyDescent="0.3">
      <c r="A34" t="s">
        <v>219</v>
      </c>
      <c r="B34">
        <f t="shared" si="0"/>
        <v>324</v>
      </c>
      <c r="C34">
        <v>201</v>
      </c>
      <c r="D34">
        <v>123</v>
      </c>
      <c r="E34">
        <v>40.700000000000003</v>
      </c>
      <c r="F34">
        <v>30.5</v>
      </c>
      <c r="G34">
        <f>E34*10000</f>
        <v>407000</v>
      </c>
      <c r="H34">
        <f>F34*10000</f>
        <v>305000</v>
      </c>
    </row>
    <row r="35" spans="1:8" x14ac:dyDescent="0.3">
      <c r="A35" t="s">
        <v>237</v>
      </c>
      <c r="B35">
        <f t="shared" si="0"/>
        <v>0</v>
      </c>
      <c r="E35">
        <v>46.2</v>
      </c>
      <c r="F35">
        <v>58</v>
      </c>
      <c r="G35">
        <f>E35*10000</f>
        <v>462000</v>
      </c>
      <c r="H35">
        <f>F35*10000</f>
        <v>580000</v>
      </c>
    </row>
    <row r="36" spans="1:8" x14ac:dyDescent="0.3">
      <c r="A36" t="s">
        <v>220</v>
      </c>
      <c r="B36">
        <f t="shared" si="0"/>
        <v>2418</v>
      </c>
      <c r="C36" s="7">
        <v>1339</v>
      </c>
      <c r="D36" s="7">
        <v>1079</v>
      </c>
    </row>
    <row r="37" spans="1:8" x14ac:dyDescent="0.3">
      <c r="A37" t="s">
        <v>221</v>
      </c>
      <c r="B37">
        <f t="shared" si="0"/>
        <v>3554</v>
      </c>
      <c r="C37" s="7">
        <v>1351</v>
      </c>
      <c r="D37" s="7">
        <v>2203</v>
      </c>
    </row>
    <row r="38" spans="1:8" x14ac:dyDescent="0.3">
      <c r="A38" t="s">
        <v>222</v>
      </c>
      <c r="B38">
        <f t="shared" si="0"/>
        <v>119</v>
      </c>
      <c r="C38">
        <v>0</v>
      </c>
      <c r="D38">
        <v>119</v>
      </c>
    </row>
    <row r="39" spans="1:8" x14ac:dyDescent="0.3">
      <c r="A39" t="s">
        <v>223</v>
      </c>
      <c r="B39">
        <f t="shared" si="0"/>
        <v>263</v>
      </c>
      <c r="C39">
        <v>17</v>
      </c>
      <c r="D39">
        <v>246</v>
      </c>
    </row>
    <row r="40" spans="1:8" x14ac:dyDescent="0.3">
      <c r="A40" t="s">
        <v>224</v>
      </c>
      <c r="B40">
        <f t="shared" si="0"/>
        <v>137</v>
      </c>
      <c r="C40">
        <v>0</v>
      </c>
      <c r="D40">
        <v>137</v>
      </c>
    </row>
    <row r="41" spans="1:8" x14ac:dyDescent="0.3">
      <c r="A41" t="s">
        <v>225</v>
      </c>
      <c r="B41">
        <f t="shared" si="0"/>
        <v>38</v>
      </c>
      <c r="C41">
        <v>0</v>
      </c>
      <c r="D41">
        <v>38</v>
      </c>
    </row>
    <row r="42" spans="1:8" x14ac:dyDescent="0.3">
      <c r="A42" t="s">
        <v>226</v>
      </c>
      <c r="B42">
        <f t="shared" si="0"/>
        <v>129</v>
      </c>
      <c r="C42">
        <v>35</v>
      </c>
      <c r="D42">
        <v>94</v>
      </c>
    </row>
    <row r="43" spans="1:8" x14ac:dyDescent="0.3">
      <c r="A43" t="s">
        <v>227</v>
      </c>
      <c r="B43">
        <f t="shared" si="0"/>
        <v>26</v>
      </c>
      <c r="C43">
        <v>0</v>
      </c>
      <c r="D43">
        <v>26</v>
      </c>
    </row>
    <row r="44" spans="1:8" x14ac:dyDescent="0.3">
      <c r="A44" t="s">
        <v>228</v>
      </c>
      <c r="B44">
        <f t="shared" si="0"/>
        <v>575</v>
      </c>
      <c r="C44">
        <v>336</v>
      </c>
      <c r="D44">
        <v>239</v>
      </c>
    </row>
    <row r="45" spans="1:8" x14ac:dyDescent="0.3">
      <c r="A45" t="s">
        <v>229</v>
      </c>
      <c r="B45">
        <f t="shared" si="0"/>
        <v>369</v>
      </c>
      <c r="C45">
        <v>84</v>
      </c>
      <c r="D45">
        <v>285</v>
      </c>
    </row>
    <row r="46" spans="1:8" x14ac:dyDescent="0.3">
      <c r="A46" t="s">
        <v>230</v>
      </c>
      <c r="B46">
        <f t="shared" si="0"/>
        <v>682</v>
      </c>
      <c r="C46">
        <v>408</v>
      </c>
      <c r="D46">
        <v>274</v>
      </c>
    </row>
    <row r="47" spans="1:8" x14ac:dyDescent="0.3">
      <c r="A47" t="s">
        <v>231</v>
      </c>
      <c r="B47">
        <f t="shared" si="0"/>
        <v>45</v>
      </c>
      <c r="C47">
        <v>28</v>
      </c>
      <c r="D47">
        <v>17</v>
      </c>
    </row>
    <row r="48" spans="1:8" x14ac:dyDescent="0.3">
      <c r="A48" t="s">
        <v>232</v>
      </c>
      <c r="B48">
        <f t="shared" si="0"/>
        <v>59</v>
      </c>
      <c r="C48">
        <v>26</v>
      </c>
      <c r="D48">
        <v>33</v>
      </c>
    </row>
    <row r="49" spans="1:4" x14ac:dyDescent="0.3">
      <c r="A49" t="s">
        <v>233</v>
      </c>
      <c r="B49">
        <f t="shared" si="0"/>
        <v>62</v>
      </c>
      <c r="C49">
        <v>32</v>
      </c>
      <c r="D49">
        <v>30</v>
      </c>
    </row>
    <row r="50" spans="1:4" x14ac:dyDescent="0.3">
      <c r="A50" t="s">
        <v>234</v>
      </c>
      <c r="B50">
        <f t="shared" si="0"/>
        <v>450</v>
      </c>
      <c r="C50">
        <v>324</v>
      </c>
      <c r="D50">
        <v>126</v>
      </c>
    </row>
  </sheetData>
  <mergeCells count="8">
    <mergeCell ref="H15:H16"/>
    <mergeCell ref="H31:H32"/>
    <mergeCell ref="E15:E16"/>
    <mergeCell ref="E31:E32"/>
    <mergeCell ref="F15:F16"/>
    <mergeCell ref="F31:F32"/>
    <mergeCell ref="G31:G32"/>
    <mergeCell ref="G15:G1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9DA9F-9AE3-41FD-A388-12C8354507D1}">
  <dimension ref="A1:D7"/>
  <sheetViews>
    <sheetView workbookViewId="0">
      <selection activeCell="B28" sqref="B28"/>
    </sheetView>
  </sheetViews>
  <sheetFormatPr defaultRowHeight="14.4" x14ac:dyDescent="0.3"/>
  <cols>
    <col min="2" max="2" width="31.6640625" customWidth="1"/>
    <col min="3" max="3" width="22.21875" customWidth="1"/>
    <col min="4" max="4" width="16.33203125" customWidth="1"/>
  </cols>
  <sheetData>
    <row r="1" spans="1:4" x14ac:dyDescent="0.3">
      <c r="A1" s="31" t="s">
        <v>1</v>
      </c>
      <c r="B1" s="31" t="s">
        <v>128</v>
      </c>
      <c r="C1" s="31"/>
      <c r="D1" s="31"/>
    </row>
    <row r="2" spans="1:4" x14ac:dyDescent="0.3">
      <c r="A2" s="31"/>
      <c r="B2" s="31" t="s">
        <v>77</v>
      </c>
      <c r="C2" s="31"/>
      <c r="D2" s="31"/>
    </row>
    <row r="3" spans="1:4" x14ac:dyDescent="0.3">
      <c r="A3" s="31"/>
      <c r="B3" s="9" t="s">
        <v>78</v>
      </c>
      <c r="C3" s="9" t="s">
        <v>79</v>
      </c>
      <c r="D3" s="9" t="s">
        <v>80</v>
      </c>
    </row>
    <row r="4" spans="1:4" x14ac:dyDescent="0.3">
      <c r="A4" s="2" t="s">
        <v>81</v>
      </c>
      <c r="B4" s="14">
        <v>104</v>
      </c>
      <c r="C4" s="14">
        <v>102</v>
      </c>
      <c r="D4" s="15">
        <v>2</v>
      </c>
    </row>
    <row r="5" spans="1:4" x14ac:dyDescent="0.3">
      <c r="A5" s="2" t="s">
        <v>82</v>
      </c>
      <c r="B5" s="14">
        <v>3</v>
      </c>
      <c r="C5" s="14">
        <v>3</v>
      </c>
      <c r="D5" s="14">
        <v>0</v>
      </c>
    </row>
    <row r="6" spans="1:4" x14ac:dyDescent="0.3">
      <c r="A6" s="2" t="s">
        <v>83</v>
      </c>
      <c r="B6" s="14">
        <v>107</v>
      </c>
      <c r="C6" s="14">
        <v>105</v>
      </c>
      <c r="D6" s="15" t="s">
        <v>84</v>
      </c>
    </row>
    <row r="7" spans="1:4" x14ac:dyDescent="0.3">
      <c r="D7" t="s">
        <v>85</v>
      </c>
    </row>
  </sheetData>
  <mergeCells count="3">
    <mergeCell ref="B1:D1"/>
    <mergeCell ref="B2:D2"/>
    <mergeCell ref="A1:A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3D492-471F-4BD9-9E12-366A4E8FFA44}">
  <dimension ref="A1:K29"/>
  <sheetViews>
    <sheetView workbookViewId="0">
      <selection activeCell="H23" sqref="H23"/>
    </sheetView>
  </sheetViews>
  <sheetFormatPr defaultRowHeight="14.4" x14ac:dyDescent="0.3"/>
  <cols>
    <col min="2" max="2" width="16.33203125" customWidth="1"/>
    <col min="3" max="3" width="32" style="21" customWidth="1"/>
    <col min="4" max="4" width="17.77734375" customWidth="1"/>
    <col min="5" max="5" width="18.109375" customWidth="1"/>
    <col min="6" max="6" width="17.33203125" customWidth="1"/>
    <col min="7" max="7" width="13.77734375" customWidth="1"/>
    <col min="8" max="8" width="30.6640625" customWidth="1"/>
    <col min="9" max="9" width="15.44140625" customWidth="1"/>
    <col min="10" max="10" width="12.21875" customWidth="1"/>
  </cols>
  <sheetData>
    <row r="1" spans="1:11" x14ac:dyDescent="0.3">
      <c r="A1" s="38" t="s">
        <v>20</v>
      </c>
      <c r="B1" s="16"/>
      <c r="C1" s="5"/>
      <c r="D1" s="31" t="s">
        <v>240</v>
      </c>
      <c r="E1" s="31"/>
      <c r="F1" s="31"/>
      <c r="G1" s="31"/>
    </row>
    <row r="2" spans="1:11" x14ac:dyDescent="0.3">
      <c r="A2" s="39"/>
      <c r="B2" s="17"/>
      <c r="C2" s="19"/>
      <c r="D2" s="31" t="s">
        <v>86</v>
      </c>
      <c r="E2" s="31"/>
      <c r="F2" s="31"/>
      <c r="G2" s="31"/>
    </row>
    <row r="3" spans="1:11" x14ac:dyDescent="0.3">
      <c r="A3" s="40"/>
      <c r="B3" s="18" t="s">
        <v>99</v>
      </c>
      <c r="C3" s="6" t="s">
        <v>90</v>
      </c>
      <c r="D3" s="4" t="s">
        <v>87</v>
      </c>
      <c r="E3" s="4" t="s">
        <v>88</v>
      </c>
      <c r="F3" s="4" t="s">
        <v>89</v>
      </c>
      <c r="G3" s="4" t="s">
        <v>94</v>
      </c>
      <c r="I3" s="49" t="s">
        <v>241</v>
      </c>
      <c r="J3" s="49" t="s">
        <v>242</v>
      </c>
    </row>
    <row r="4" spans="1:11" x14ac:dyDescent="0.3">
      <c r="A4" s="41">
        <v>2015</v>
      </c>
      <c r="B4" s="2" t="s">
        <v>2</v>
      </c>
      <c r="C4" s="20">
        <v>176</v>
      </c>
      <c r="D4" s="20" t="s">
        <v>95</v>
      </c>
      <c r="E4" s="20" t="s">
        <v>96</v>
      </c>
      <c r="F4" s="20" t="s">
        <v>97</v>
      </c>
      <c r="G4" s="20" t="s">
        <v>98</v>
      </c>
      <c r="I4" s="48">
        <v>6635086</v>
      </c>
    </row>
    <row r="5" spans="1:11" x14ac:dyDescent="0.3">
      <c r="A5" s="42"/>
      <c r="B5" s="2" t="s">
        <v>3</v>
      </c>
      <c r="C5" s="20">
        <v>189</v>
      </c>
      <c r="D5" s="20" t="s">
        <v>100</v>
      </c>
      <c r="E5" s="20" t="s">
        <v>101</v>
      </c>
      <c r="F5" s="20" t="s">
        <v>102</v>
      </c>
      <c r="G5" s="20" t="s">
        <v>103</v>
      </c>
      <c r="I5" s="7">
        <v>21591310</v>
      </c>
    </row>
    <row r="6" spans="1:11" x14ac:dyDescent="0.3">
      <c r="A6" s="35">
        <v>2019</v>
      </c>
      <c r="B6" s="2" t="s">
        <v>104</v>
      </c>
      <c r="C6" s="20">
        <v>53</v>
      </c>
      <c r="D6" s="20" t="s">
        <v>106</v>
      </c>
      <c r="E6" s="20" t="s">
        <v>106</v>
      </c>
      <c r="F6" s="20" t="s">
        <v>106</v>
      </c>
      <c r="G6" s="20" t="s">
        <v>107</v>
      </c>
      <c r="H6" s="24" t="s">
        <v>108</v>
      </c>
      <c r="I6" s="7">
        <v>562512</v>
      </c>
    </row>
    <row r="7" spans="1:11" x14ac:dyDescent="0.3">
      <c r="A7" s="36"/>
      <c r="B7" s="2" t="s">
        <v>105</v>
      </c>
      <c r="C7" s="20">
        <v>112</v>
      </c>
      <c r="D7" s="20" t="s">
        <v>109</v>
      </c>
      <c r="E7" s="20" t="s">
        <v>109</v>
      </c>
      <c r="F7" s="20" t="s">
        <v>109</v>
      </c>
      <c r="G7" s="20" t="s">
        <v>109</v>
      </c>
      <c r="I7" s="7">
        <v>2265757</v>
      </c>
    </row>
    <row r="8" spans="1:11" x14ac:dyDescent="0.3">
      <c r="A8" s="36"/>
      <c r="B8" s="2" t="s">
        <v>2</v>
      </c>
      <c r="C8" s="20">
        <v>175</v>
      </c>
      <c r="D8" s="20" t="s">
        <v>110</v>
      </c>
      <c r="E8" s="20" t="s">
        <v>111</v>
      </c>
      <c r="F8" s="20" t="s">
        <v>112</v>
      </c>
      <c r="G8" s="20"/>
      <c r="I8" s="7"/>
      <c r="J8" s="7">
        <v>6701495</v>
      </c>
    </row>
    <row r="9" spans="1:11" x14ac:dyDescent="0.3">
      <c r="A9" s="37"/>
      <c r="B9" s="2" t="s">
        <v>3</v>
      </c>
      <c r="C9" s="20">
        <v>185</v>
      </c>
      <c r="D9" s="20" t="s">
        <v>113</v>
      </c>
      <c r="E9" s="20" t="s">
        <v>114</v>
      </c>
      <c r="F9" s="20" t="s">
        <v>115</v>
      </c>
      <c r="G9" s="20"/>
      <c r="H9" t="s">
        <v>116</v>
      </c>
      <c r="I9" s="7"/>
      <c r="J9" s="7">
        <v>21215168</v>
      </c>
    </row>
    <row r="10" spans="1:11" x14ac:dyDescent="0.3">
      <c r="A10" s="35">
        <v>2022</v>
      </c>
      <c r="B10" s="2" t="s">
        <v>104</v>
      </c>
      <c r="C10" s="20">
        <v>148</v>
      </c>
      <c r="D10" s="23">
        <v>2062632</v>
      </c>
      <c r="E10" s="23">
        <v>2086500</v>
      </c>
      <c r="F10" s="23">
        <v>2110524</v>
      </c>
      <c r="G10" s="20"/>
      <c r="I10" s="7"/>
      <c r="J10" s="7">
        <v>2086552</v>
      </c>
    </row>
    <row r="11" spans="1:11" x14ac:dyDescent="0.3">
      <c r="A11" s="36"/>
      <c r="B11" s="2" t="s">
        <v>117</v>
      </c>
      <c r="C11" s="20">
        <v>130</v>
      </c>
      <c r="D11" s="23">
        <v>4350528</v>
      </c>
      <c r="E11" s="20"/>
      <c r="F11" s="20"/>
      <c r="G11" s="20"/>
      <c r="I11" s="7"/>
      <c r="K11" s="7"/>
    </row>
    <row r="12" spans="1:11" x14ac:dyDescent="0.3">
      <c r="A12" s="36"/>
      <c r="B12" s="2" t="s">
        <v>2</v>
      </c>
      <c r="C12" s="20">
        <v>177</v>
      </c>
      <c r="D12" s="20" t="s">
        <v>91</v>
      </c>
      <c r="E12" s="20" t="s">
        <v>92</v>
      </c>
      <c r="F12" s="20" t="s">
        <v>93</v>
      </c>
      <c r="G12" s="20"/>
      <c r="I12" s="7"/>
      <c r="J12" s="7">
        <v>8269765</v>
      </c>
    </row>
    <row r="13" spans="1:11" x14ac:dyDescent="0.3">
      <c r="A13" s="37"/>
      <c r="B13" s="2" t="s">
        <v>3</v>
      </c>
      <c r="C13" s="20">
        <v>189</v>
      </c>
      <c r="D13" s="20" t="s">
        <v>118</v>
      </c>
      <c r="E13" s="20" t="s">
        <v>119</v>
      </c>
      <c r="F13" s="20" t="s">
        <v>120</v>
      </c>
      <c r="G13" s="20"/>
      <c r="I13" s="7"/>
      <c r="J13" s="7">
        <v>28990355</v>
      </c>
    </row>
    <row r="14" spans="1:11" x14ac:dyDescent="0.3">
      <c r="A14" s="35">
        <v>2024</v>
      </c>
      <c r="B14" s="13" t="s">
        <v>104</v>
      </c>
      <c r="C14" s="9"/>
      <c r="D14" s="9"/>
      <c r="E14" s="9"/>
      <c r="F14" s="9"/>
      <c r="G14" s="9"/>
    </row>
    <row r="15" spans="1:11" x14ac:dyDescent="0.3">
      <c r="A15" s="36"/>
      <c r="B15" s="2" t="s">
        <v>123</v>
      </c>
      <c r="C15" s="20">
        <v>133</v>
      </c>
      <c r="D15" s="23">
        <v>4569084</v>
      </c>
      <c r="E15" s="20"/>
      <c r="F15" s="20"/>
      <c r="G15" s="20"/>
      <c r="I15" s="50"/>
    </row>
    <row r="16" spans="1:11" x14ac:dyDescent="0.3">
      <c r="A16" s="36"/>
      <c r="B16" s="2" t="s">
        <v>2</v>
      </c>
      <c r="C16" s="20">
        <v>181</v>
      </c>
      <c r="D16" s="20" t="s">
        <v>121</v>
      </c>
      <c r="E16" s="20"/>
      <c r="F16" s="20"/>
      <c r="G16" s="20"/>
      <c r="I16" s="51"/>
    </row>
    <row r="17" spans="1:9" x14ac:dyDescent="0.3">
      <c r="A17" s="37"/>
      <c r="B17" s="2" t="s">
        <v>3</v>
      </c>
      <c r="C17" s="20">
        <v>197</v>
      </c>
      <c r="D17" s="20" t="s">
        <v>122</v>
      </c>
      <c r="E17" s="20"/>
      <c r="F17" s="20"/>
      <c r="G17" s="20"/>
      <c r="I17" s="51"/>
    </row>
    <row r="18" spans="1:9" x14ac:dyDescent="0.3">
      <c r="A18" s="35">
        <v>2025</v>
      </c>
      <c r="B18" s="2" t="s">
        <v>104</v>
      </c>
      <c r="C18" s="20">
        <v>176</v>
      </c>
      <c r="D18" s="23">
        <v>3528408</v>
      </c>
      <c r="E18" s="23">
        <v>3542760</v>
      </c>
      <c r="F18" s="23">
        <v>3557112</v>
      </c>
      <c r="G18" s="23">
        <v>3571620</v>
      </c>
      <c r="I18" s="7">
        <v>3549975</v>
      </c>
    </row>
    <row r="19" spans="1:9" x14ac:dyDescent="0.3">
      <c r="A19" s="36"/>
      <c r="B19" s="13" t="s">
        <v>105</v>
      </c>
      <c r="C19" s="9"/>
      <c r="D19" s="9"/>
      <c r="E19" s="9"/>
      <c r="F19" s="9"/>
      <c r="G19" s="9"/>
    </row>
    <row r="20" spans="1:9" x14ac:dyDescent="0.3">
      <c r="A20" s="36"/>
      <c r="B20" s="2" t="s">
        <v>2</v>
      </c>
      <c r="C20" s="20">
        <v>185</v>
      </c>
      <c r="D20" s="20" t="s">
        <v>124</v>
      </c>
      <c r="E20" s="20"/>
      <c r="F20" s="20"/>
      <c r="G20" s="20"/>
      <c r="I20" s="51"/>
    </row>
    <row r="21" spans="1:9" x14ac:dyDescent="0.3">
      <c r="A21" s="37"/>
      <c r="B21" s="2" t="s">
        <v>3</v>
      </c>
      <c r="C21" s="20">
        <v>199</v>
      </c>
      <c r="D21" s="20" t="s">
        <v>125</v>
      </c>
      <c r="E21" s="20"/>
      <c r="F21" s="20"/>
      <c r="G21" s="20"/>
      <c r="I21" s="51"/>
    </row>
    <row r="22" spans="1:9" x14ac:dyDescent="0.3">
      <c r="A22" s="35">
        <v>2026</v>
      </c>
      <c r="B22" s="13" t="s">
        <v>104</v>
      </c>
      <c r="C22" s="9"/>
      <c r="D22" s="9"/>
      <c r="E22" s="9"/>
      <c r="F22" s="9"/>
      <c r="G22" s="9"/>
      <c r="I22" s="52"/>
    </row>
    <row r="23" spans="1:9" x14ac:dyDescent="0.3">
      <c r="A23" s="36"/>
      <c r="B23" s="13" t="s">
        <v>105</v>
      </c>
      <c r="C23" s="9"/>
      <c r="D23" s="9"/>
      <c r="E23" s="9"/>
      <c r="F23" s="9"/>
      <c r="G23" s="9"/>
      <c r="I23" s="52"/>
    </row>
    <row r="24" spans="1:9" x14ac:dyDescent="0.3">
      <c r="A24" s="36"/>
      <c r="B24" s="2" t="s">
        <v>2</v>
      </c>
      <c r="C24" s="20">
        <v>182</v>
      </c>
      <c r="D24" s="20" t="s">
        <v>126</v>
      </c>
      <c r="E24" s="20"/>
      <c r="F24" s="20"/>
      <c r="G24" s="20"/>
      <c r="I24" s="51"/>
    </row>
    <row r="25" spans="1:9" x14ac:dyDescent="0.3">
      <c r="A25" s="37"/>
      <c r="B25" s="2" t="s">
        <v>3</v>
      </c>
      <c r="C25" s="20">
        <v>198</v>
      </c>
      <c r="D25" s="20" t="s">
        <v>127</v>
      </c>
      <c r="E25" s="20"/>
      <c r="F25" s="20"/>
      <c r="G25" s="20"/>
      <c r="I25" s="51"/>
    </row>
    <row r="26" spans="1:9" x14ac:dyDescent="0.3">
      <c r="C26"/>
      <c r="I26" s="52"/>
    </row>
    <row r="27" spans="1:9" x14ac:dyDescent="0.3">
      <c r="C27"/>
      <c r="I27" s="52"/>
    </row>
    <row r="28" spans="1:9" x14ac:dyDescent="0.3">
      <c r="C28"/>
      <c r="I28" s="52"/>
    </row>
    <row r="29" spans="1:9" x14ac:dyDescent="0.3">
      <c r="C29"/>
    </row>
  </sheetData>
  <mergeCells count="9">
    <mergeCell ref="A1:A3"/>
    <mergeCell ref="A4:A5"/>
    <mergeCell ref="D1:G1"/>
    <mergeCell ref="D2:G2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E1EF2-4F31-4837-A9B8-B884E58D633E}">
  <dimension ref="A1:K13"/>
  <sheetViews>
    <sheetView workbookViewId="0">
      <selection activeCell="H15" sqref="H15"/>
    </sheetView>
  </sheetViews>
  <sheetFormatPr defaultRowHeight="14.4" x14ac:dyDescent="0.3"/>
  <cols>
    <col min="2" max="2" width="15.109375" customWidth="1"/>
    <col min="3" max="3" width="20.109375" customWidth="1"/>
    <col min="4" max="4" width="20.44140625" customWidth="1"/>
    <col min="5" max="5" width="18.33203125" customWidth="1"/>
    <col min="6" max="6" width="15.5546875" customWidth="1"/>
    <col min="7" max="7" width="15.88671875" customWidth="1"/>
    <col min="8" max="8" width="16.33203125" customWidth="1"/>
    <col min="9" max="9" width="38.6640625" customWidth="1"/>
    <col min="10" max="10" width="35" customWidth="1"/>
    <col min="11" max="11" width="25.109375" customWidth="1"/>
  </cols>
  <sheetData>
    <row r="1" spans="1:11" x14ac:dyDescent="0.3">
      <c r="A1" s="44" t="s">
        <v>158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1" ht="18.600000000000001" customHeight="1" x14ac:dyDescent="0.3">
      <c r="A2" s="9" t="s">
        <v>20</v>
      </c>
      <c r="B2" s="9" t="s">
        <v>99</v>
      </c>
      <c r="C2" s="9" t="s">
        <v>129</v>
      </c>
      <c r="D2" s="9" t="s">
        <v>130</v>
      </c>
      <c r="E2" s="9" t="s">
        <v>131</v>
      </c>
      <c r="F2" s="9" t="s">
        <v>132</v>
      </c>
      <c r="G2" s="9" t="s">
        <v>133</v>
      </c>
      <c r="H2" s="9" t="s">
        <v>134</v>
      </c>
      <c r="I2" s="9" t="s">
        <v>156</v>
      </c>
      <c r="J2" s="9" t="s">
        <v>155</v>
      </c>
      <c r="K2" s="9" t="s">
        <v>157</v>
      </c>
    </row>
    <row r="3" spans="1:11" ht="15" customHeight="1" x14ac:dyDescent="0.3">
      <c r="A3" s="34">
        <v>2018</v>
      </c>
      <c r="B3" s="9" t="s">
        <v>160</v>
      </c>
      <c r="C3" s="22" t="s">
        <v>169</v>
      </c>
      <c r="D3" s="22" t="s">
        <v>170</v>
      </c>
      <c r="E3" s="22" t="s">
        <v>163</v>
      </c>
      <c r="F3" s="22" t="s">
        <v>163</v>
      </c>
      <c r="G3" s="22" t="s">
        <v>171</v>
      </c>
      <c r="H3" s="26">
        <v>3200011</v>
      </c>
      <c r="I3" s="46">
        <v>3461460605</v>
      </c>
      <c r="J3" s="46">
        <v>7863507987</v>
      </c>
      <c r="K3" s="26">
        <v>178804924</v>
      </c>
    </row>
    <row r="4" spans="1:11" ht="15" customHeight="1" x14ac:dyDescent="0.3">
      <c r="A4" s="34"/>
      <c r="B4" s="9" t="s">
        <v>159</v>
      </c>
      <c r="C4" s="22" t="s">
        <v>172</v>
      </c>
      <c r="D4" s="22" t="s">
        <v>173</v>
      </c>
      <c r="E4" s="22" t="s">
        <v>138</v>
      </c>
      <c r="F4" s="22" t="s">
        <v>139</v>
      </c>
      <c r="G4" s="22" t="s">
        <v>174</v>
      </c>
      <c r="H4" s="26">
        <v>1797567</v>
      </c>
      <c r="I4" s="46"/>
      <c r="J4" s="46"/>
      <c r="K4" s="26">
        <v>2103431988</v>
      </c>
    </row>
    <row r="5" spans="1:11" x14ac:dyDescent="0.3">
      <c r="A5" s="34"/>
      <c r="B5" s="9" t="s">
        <v>1</v>
      </c>
      <c r="C5" s="27" t="s">
        <v>135</v>
      </c>
      <c r="D5" s="14" t="s">
        <v>137</v>
      </c>
      <c r="E5" s="14" t="s">
        <v>138</v>
      </c>
      <c r="F5" s="14" t="s">
        <v>139</v>
      </c>
      <c r="G5" s="14" t="s">
        <v>140</v>
      </c>
      <c r="H5" s="27" t="s">
        <v>136</v>
      </c>
      <c r="I5" s="46"/>
      <c r="J5" s="46"/>
      <c r="K5" s="28">
        <v>2282236912</v>
      </c>
    </row>
    <row r="6" spans="1:11" x14ac:dyDescent="0.3">
      <c r="A6" s="34">
        <f>A3-1</f>
        <v>2017</v>
      </c>
      <c r="B6" s="9" t="s">
        <v>160</v>
      </c>
      <c r="C6" s="27" t="s">
        <v>161</v>
      </c>
      <c r="D6" s="14" t="s">
        <v>162</v>
      </c>
      <c r="E6" s="14" t="s">
        <v>163</v>
      </c>
      <c r="F6" s="14" t="s">
        <v>163</v>
      </c>
      <c r="G6" s="14" t="s">
        <v>164</v>
      </c>
      <c r="H6" s="28">
        <v>4856315</v>
      </c>
      <c r="I6" s="45" t="s">
        <v>146</v>
      </c>
      <c r="J6" s="45" t="s">
        <v>147</v>
      </c>
      <c r="K6" s="28">
        <v>265396202</v>
      </c>
    </row>
    <row r="7" spans="1:11" x14ac:dyDescent="0.3">
      <c r="A7" s="34"/>
      <c r="B7" s="9" t="s">
        <v>159</v>
      </c>
      <c r="C7" s="27" t="s">
        <v>166</v>
      </c>
      <c r="D7" s="14" t="s">
        <v>167</v>
      </c>
      <c r="E7" s="14" t="s">
        <v>143</v>
      </c>
      <c r="F7" s="14" t="s">
        <v>144</v>
      </c>
      <c r="G7" s="14" t="s">
        <v>168</v>
      </c>
      <c r="H7" s="28">
        <v>1710781</v>
      </c>
      <c r="I7" s="45"/>
      <c r="J7" s="45"/>
      <c r="K7" s="28" t="s">
        <v>165</v>
      </c>
    </row>
    <row r="8" spans="1:11" x14ac:dyDescent="0.3">
      <c r="A8" s="34"/>
      <c r="B8" s="9" t="s">
        <v>1</v>
      </c>
      <c r="C8" s="14" t="s">
        <v>141</v>
      </c>
      <c r="D8" s="14" t="s">
        <v>142</v>
      </c>
      <c r="E8" s="14" t="s">
        <v>143</v>
      </c>
      <c r="F8" s="14" t="s">
        <v>144</v>
      </c>
      <c r="G8" s="14" t="s">
        <v>145</v>
      </c>
      <c r="H8" s="29">
        <v>6567096</v>
      </c>
      <c r="I8" s="45"/>
      <c r="J8" s="45"/>
      <c r="K8" s="14" t="s">
        <v>148</v>
      </c>
    </row>
    <row r="9" spans="1:11" x14ac:dyDescent="0.3">
      <c r="A9" s="34">
        <f>A6-1</f>
        <v>2016</v>
      </c>
      <c r="B9" s="9" t="s">
        <v>160</v>
      </c>
      <c r="C9" s="14" t="s">
        <v>175</v>
      </c>
      <c r="D9" s="14" t="s">
        <v>176</v>
      </c>
      <c r="E9" s="14" t="s">
        <v>177</v>
      </c>
      <c r="F9" s="14" t="s">
        <v>178</v>
      </c>
      <c r="G9" s="14" t="s">
        <v>179</v>
      </c>
      <c r="H9" s="29" t="s">
        <v>180</v>
      </c>
      <c r="I9" s="45" t="s">
        <v>153</v>
      </c>
      <c r="J9" s="43">
        <v>8045181127</v>
      </c>
      <c r="K9" s="30">
        <v>178746736</v>
      </c>
    </row>
    <row r="10" spans="1:11" x14ac:dyDescent="0.3">
      <c r="A10" s="34"/>
      <c r="B10" s="9" t="s">
        <v>159</v>
      </c>
      <c r="C10" s="14" t="s">
        <v>181</v>
      </c>
      <c r="D10" s="14" t="s">
        <v>182</v>
      </c>
      <c r="E10" s="14" t="s">
        <v>183</v>
      </c>
      <c r="F10" s="14" t="s">
        <v>184</v>
      </c>
      <c r="G10" s="14" t="s">
        <v>185</v>
      </c>
      <c r="H10" s="29">
        <v>1324643</v>
      </c>
      <c r="I10" s="45"/>
      <c r="J10" s="43"/>
      <c r="K10" s="30">
        <v>1606149995</v>
      </c>
    </row>
    <row r="11" spans="1:11" x14ac:dyDescent="0.3">
      <c r="A11" s="34"/>
      <c r="B11" s="9" t="s">
        <v>1</v>
      </c>
      <c r="C11" s="28">
        <v>808319</v>
      </c>
      <c r="D11" s="14" t="s">
        <v>149</v>
      </c>
      <c r="E11" s="14" t="s">
        <v>150</v>
      </c>
      <c r="F11" s="14" t="s">
        <v>151</v>
      </c>
      <c r="G11" s="14" t="s">
        <v>152</v>
      </c>
      <c r="H11" s="30">
        <v>4567502</v>
      </c>
      <c r="I11" s="45"/>
      <c r="J11" s="43"/>
      <c r="K11" s="14" t="s">
        <v>154</v>
      </c>
    </row>
    <row r="12" spans="1:11" x14ac:dyDescent="0.3">
      <c r="B12" s="25"/>
      <c r="C12" s="25"/>
      <c r="D12" s="25"/>
      <c r="E12" s="25"/>
    </row>
    <row r="13" spans="1:11" x14ac:dyDescent="0.3">
      <c r="B13" s="25"/>
      <c r="C13" s="25"/>
      <c r="D13" s="25"/>
      <c r="E13" s="25"/>
      <c r="F13" s="25"/>
      <c r="G13" s="25"/>
      <c r="H13" s="25"/>
      <c r="I13" s="25"/>
      <c r="J13" s="25"/>
      <c r="K13" s="25"/>
    </row>
  </sheetData>
  <mergeCells count="10">
    <mergeCell ref="J9:J11"/>
    <mergeCell ref="A1:K1"/>
    <mergeCell ref="A3:A5"/>
    <mergeCell ref="A6:A8"/>
    <mergeCell ref="A9:A11"/>
    <mergeCell ref="I6:I8"/>
    <mergeCell ref="J6:J8"/>
    <mergeCell ref="I3:I5"/>
    <mergeCell ref="J3:J5"/>
    <mergeCell ref="I9:I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PACIENTES POR AÑO</vt:lpstr>
      <vt:lpstr>PACIENTES POR ESTADO</vt:lpstr>
      <vt:lpstr>UNIDADES DE HEMODIÁLISIS</vt:lpstr>
      <vt:lpstr>REQUERIMIENTOS DE BOLSAS</vt:lpstr>
      <vt:lpstr>SERVICIO SUBROGADO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Cuevas Budhart</dc:creator>
  <cp:lastModifiedBy>Miguel Cuevas Budhart</cp:lastModifiedBy>
  <dcterms:created xsi:type="dcterms:W3CDTF">2026-03-26T15:25:42Z</dcterms:created>
  <dcterms:modified xsi:type="dcterms:W3CDTF">2026-04-02T14:38:31Z</dcterms:modified>
</cp:coreProperties>
</file>